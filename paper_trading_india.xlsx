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Open Positions" sheetId="4" state="visible" r:id="rId4"/>
    <sheet xmlns:r="http://schemas.openxmlformats.org/officeDocument/2006/relationships" name="Closed Trade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1"/>
    </font>
    <font>
      <i val="1"/>
      <color rgb="0064748B"/>
    </font>
    <font>
      <b val="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Paper trading workbook — Indian equities (NSE / BSE)</t>
        </is>
      </c>
    </row>
    <row r="2">
      <c r="A2" t="inlineStr"/>
    </row>
    <row r="3">
      <c r="A3" t="inlineStr">
        <is>
          <t>1. Settings — Set starting capital and charge assumptions.</t>
        </is>
      </c>
    </row>
    <row r="4">
      <c r="A4" t="inlineStr">
        <is>
          <t>2. Trade Log — Log every BUY and SELL (one row per fill). Use the same Position ID for entry and exit.</t>
        </is>
      </c>
    </row>
    <row r="5">
      <c r="A5" t="inlineStr">
        <is>
          <t>3. Open Positions — Auto view of symbols still held (net qty &gt; 0).</t>
        </is>
      </c>
    </row>
    <row r="6">
      <c r="A6" t="inlineStr">
        <is>
          <t>4. Closed Trades — Enter exit row with Position ID; realized P&amp;L is calculated.</t>
        </is>
      </c>
    </row>
    <row r="7">
      <c r="A7" t="inlineStr">
        <is>
          <t>5. Summary — Cash, exposure, and performance metrics.</t>
        </is>
      </c>
    </row>
    <row r="8">
      <c r="A8" t="inlineStr"/>
    </row>
    <row r="9">
      <c r="A9" t="inlineStr">
        <is>
          <t>Tips:</t>
        </is>
      </c>
    </row>
    <row r="10">
      <c r="A10" t="inlineStr">
        <is>
          <t>• Symbol: use NSE tickers (e.g. RELIANCE, TCS, JINDALSTEL).</t>
        </is>
      </c>
    </row>
    <row r="11">
      <c r="A11" t="inlineStr">
        <is>
          <t>• Segment: Equity Delivery or Equity Intraday (affects STT).</t>
        </is>
      </c>
    </row>
    <row r="12">
      <c r="A12" t="inlineStr">
        <is>
          <t>• For a swing trade: BUY row Position ID = T001, SELL row same ID = T001.</t>
        </is>
      </c>
    </row>
    <row r="13">
      <c r="A13" t="inlineStr">
        <is>
          <t>• LTP (last traded price) on Open Positions is manual — update for mark-to-market.</t>
        </is>
      </c>
    </row>
    <row r="14">
      <c r="A14" t="inlineStr"/>
    </row>
    <row r="15">
      <c r="A15" t="inlineStr">
        <is>
          <t>Regenerate this file: python build_paper_trading_sheet.py</t>
        </is>
      </c>
    </row>
    <row r="16">
      <c r="A16" t="inlineStr">
        <is>
          <t>File location: /Users/admin/Desktop/Codebase/ri/test/paper_trading_india.xlsx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42" customWidth="1" min="4" max="4"/>
  </cols>
  <sheetData>
    <row r="1">
      <c r="A1" s="1" t="inlineStr">
        <is>
          <t>Indian stock market — paper trading settings</t>
        </is>
      </c>
    </row>
    <row r="3">
      <c r="A3" s="2" t="inlineStr"/>
      <c r="B3" s="2" t="inlineStr">
        <is>
          <t>Parameter</t>
        </is>
      </c>
      <c r="C3" s="2" t="inlineStr">
        <is>
          <t>Value</t>
        </is>
      </c>
      <c r="D3" s="2" t="inlineStr">
        <is>
          <t>Notes</t>
        </is>
      </c>
    </row>
    <row r="4">
      <c r="A4" t="inlineStr"/>
      <c r="B4" t="inlineStr">
        <is>
          <t>Starting capital (₹)</t>
        </is>
      </c>
      <c r="C4" s="3" t="n">
        <v>500000</v>
      </c>
      <c r="D4" t="inlineStr">
        <is>
          <t>Virtual cash for paper trading</t>
        </is>
      </c>
    </row>
    <row r="5">
      <c r="A5" t="inlineStr"/>
      <c r="B5" t="inlineStr">
        <is>
          <t>Brokerage per order (₹)</t>
        </is>
      </c>
      <c r="C5" s="3" t="n">
        <v>20</v>
      </c>
      <c r="D5" t="inlineStr">
        <is>
          <t>Typical discount broker flat fee</t>
        </is>
      </c>
    </row>
    <row r="6">
      <c r="A6" t="inlineStr"/>
      <c r="B6" t="inlineStr">
        <is>
          <t>GST on brokerage (%)</t>
        </is>
      </c>
      <c r="C6" t="n">
        <v>0.18</v>
      </c>
      <c r="D6" t="inlineStr">
        <is>
          <t>18% on brokerage</t>
        </is>
      </c>
    </row>
    <row r="7">
      <c r="A7" t="inlineStr"/>
      <c r="B7" t="inlineStr">
        <is>
          <t>STT — delivery sell (%)</t>
        </is>
      </c>
      <c r="C7" s="4" t="n">
        <v>0.001</v>
      </c>
      <c r="D7" t="inlineStr">
        <is>
          <t>0.1% on sell turnover</t>
        </is>
      </c>
    </row>
    <row r="8">
      <c r="A8" t="inlineStr"/>
      <c r="B8" t="inlineStr">
        <is>
          <t>STT — intraday sell (%)</t>
        </is>
      </c>
      <c r="C8" s="4" t="n">
        <v>0.00025</v>
      </c>
      <c r="D8" t="inlineStr">
        <is>
          <t>0.025% on sell turnover</t>
        </is>
      </c>
    </row>
    <row r="9">
      <c r="A9" t="inlineStr"/>
      <c r="B9" t="inlineStr">
        <is>
          <t>Exchange txn charge (%)</t>
        </is>
      </c>
      <c r="C9" s="4" t="n">
        <v>3.45e-05</v>
      </c>
      <c r="D9" t="inlineStr">
        <is>
          <t>NSE equity ~0.00345% each side</t>
        </is>
      </c>
    </row>
    <row r="10">
      <c r="A10" t="inlineStr"/>
      <c r="B10" t="inlineStr">
        <is>
          <t>SEBI fee (%)</t>
        </is>
      </c>
      <c r="C10" s="4" t="n">
        <v>1e-06</v>
      </c>
      <c r="D10" t="inlineStr">
        <is>
          <t>₹10 per crore (approx)</t>
        </is>
      </c>
    </row>
    <row r="11">
      <c r="A11" t="inlineStr"/>
      <c r="B11" t="inlineStr">
        <is>
          <t>Stamp duty — buy (%)</t>
        </is>
      </c>
      <c r="C11" s="4" t="n">
        <v>0.00015</v>
      </c>
      <c r="D11" t="inlineStr">
        <is>
          <t>Varies by state; default ~0.015%</t>
        </is>
      </c>
    </row>
    <row r="12">
      <c r="A12" t="inlineStr"/>
      <c r="B12" t="inlineStr">
        <is>
          <t>DP charges — delivery sell (₹)</t>
        </is>
      </c>
      <c r="C12" s="4" t="n">
        <v>15.93</v>
      </c>
      <c r="D12" t="inlineStr">
        <is>
          <t>Per sell delivery scrip (approx)</t>
        </is>
      </c>
    </row>
    <row r="13">
      <c r="A13" t="inlineStr"/>
      <c r="B13" t="inlineStr">
        <is>
          <t>Currency</t>
        </is>
      </c>
      <c r="C13" s="3" t="inlineStr">
        <is>
          <t>INR</t>
        </is>
      </c>
      <c r="D13" t="inlineStr"/>
    </row>
    <row r="14">
      <c r="A14" t="inlineStr"/>
      <c r="B14" t="inlineStr">
        <is>
          <t>Default exchange</t>
        </is>
      </c>
      <c r="C14" t="inlineStr">
        <is>
          <t>NSE</t>
        </is>
      </c>
      <c r="D14" t="inlineStr">
        <is>
          <t>NSE or BSE</t>
        </is>
      </c>
    </row>
    <row r="16">
      <c r="A16" s="5" t="inlineStr">
        <is>
          <t>Charge formulas use Settings!$C$4:$C$13. Edit values above to match your broker.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0" customWidth="1" min="4" max="4"/>
    <col width="18" customWidth="1" min="5" max="5"/>
    <col width="8" customWidth="1" min="6" max="6"/>
    <col width="8" customWidth="1" min="7" max="7"/>
    <col width="12" customWidth="1" min="8" max="8"/>
    <col width="12" customWidth="1" min="9" max="9"/>
    <col width="28" customWidth="1" min="10" max="10"/>
    <col width="14" customWidth="1" min="11" max="11"/>
    <col width="12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14" customWidth="1" min="18" max="18"/>
    <col width="16" customWidth="1" min="19" max="19"/>
  </cols>
  <sheetData>
    <row r="1">
      <c r="A1" s="2" t="inlineStr">
        <is>
          <t>Trade #</t>
        </is>
      </c>
      <c r="B1" s="2" t="inlineStr">
        <is>
          <t>Date</t>
        </is>
      </c>
      <c r="C1" s="2" t="inlineStr">
        <is>
          <t>Symbol</t>
        </is>
      </c>
      <c r="D1" s="2" t="inlineStr">
        <is>
          <t>Exchange</t>
        </is>
      </c>
      <c r="E1" s="2" t="inlineStr">
        <is>
          <t>Segment</t>
        </is>
      </c>
      <c r="F1" s="2" t="inlineStr">
        <is>
          <t>Side</t>
        </is>
      </c>
      <c r="G1" s="2" t="inlineStr">
        <is>
          <t>Qty</t>
        </is>
      </c>
      <c r="H1" s="2" t="inlineStr">
        <is>
          <t>Price (₹)</t>
        </is>
      </c>
      <c r="I1" s="2" t="inlineStr">
        <is>
          <t>Position ID</t>
        </is>
      </c>
      <c r="J1" s="2" t="inlineStr">
        <is>
          <t>Notes</t>
        </is>
      </c>
      <c r="K1" s="2" t="inlineStr">
        <is>
          <t>Gross (₹)</t>
        </is>
      </c>
      <c r="L1" s="2" t="inlineStr">
        <is>
          <t>Brokerage (₹)</t>
        </is>
      </c>
      <c r="M1" s="2" t="inlineStr">
        <is>
          <t>STT (₹)</t>
        </is>
      </c>
      <c r="N1" s="2" t="inlineStr">
        <is>
          <t>Exch+SEBI (₹)</t>
        </is>
      </c>
      <c r="O1" s="2" t="inlineStr">
        <is>
          <t>Stamp (₹)</t>
        </is>
      </c>
      <c r="P1" s="2" t="inlineStr">
        <is>
          <t>GST (₹)</t>
        </is>
      </c>
      <c r="Q1" s="2" t="inlineStr">
        <is>
          <t>DP (₹)</t>
        </is>
      </c>
      <c r="R1" s="2" t="inlineStr">
        <is>
          <t>Total charges (₹)</t>
        </is>
      </c>
      <c r="S1" s="2" t="inlineStr">
        <is>
          <t>Net cash flow (₹)</t>
        </is>
      </c>
    </row>
    <row r="2">
      <c r="A2">
        <f>IF(G2="","",ROW()-1)</f>
        <v/>
      </c>
      <c r="B2" s="6" t="inlineStr">
        <is>
          <t>2026-05-27</t>
        </is>
      </c>
      <c r="C2" t="inlineStr">
        <is>
          <t>JINDALSTEL</t>
        </is>
      </c>
      <c r="D2" t="inlineStr">
        <is>
          <t>NSE</t>
        </is>
      </c>
      <c r="E2" t="inlineStr">
        <is>
          <t>Equity Delivery</t>
        </is>
      </c>
      <c r="F2" t="inlineStr">
        <is>
          <t>BUY</t>
        </is>
      </c>
      <c r="G2" s="3" t="n">
        <v>50</v>
      </c>
      <c r="H2" s="3" t="n">
        <v>1205</v>
      </c>
      <c r="I2" t="inlineStr">
        <is>
          <t>T001</t>
        </is>
      </c>
      <c r="J2" t="inlineStr">
        <is>
          <t>Support rejection entry</t>
        </is>
      </c>
      <c r="K2" s="3">
        <f>IF(G2="","",G2*H2)</f>
        <v/>
      </c>
      <c r="L2" s="3">
        <f>IF(G2="","",Settings!$C$5)</f>
        <v/>
      </c>
      <c r="M2" s="3">
        <f>IF(G2="","",IF(F2="SELL",K2*IF(E2="Equity Intraday",Settings!$C$8,Settings!$C$7),0))</f>
        <v/>
      </c>
      <c r="N2" s="3">
        <f>IF(G2="","",K2*(Settings!$C$9+Settings!$C$10))</f>
        <v/>
      </c>
      <c r="O2" s="3">
        <f>IF(G2="","",IF(F2="BUY",K2*Settings!$C$11,0))</f>
        <v/>
      </c>
      <c r="P2" s="3">
        <f>IF(G2="","",L2*Settings!$C$6)</f>
        <v/>
      </c>
      <c r="Q2" s="3">
        <f>IF(G2="","",IF(AND(F2="SELL",E2="Equity Delivery"),Settings!$C$13,0))</f>
        <v/>
      </c>
      <c r="R2" s="3">
        <f>IF(G2="","",SUM(L2:Q2))</f>
        <v/>
      </c>
      <c r="S2" s="3">
        <f>IF(G2="","",IF(F2="BUY",-(K2+R2),K2-R2))</f>
        <v/>
      </c>
    </row>
    <row r="3">
      <c r="A3">
        <f>IF(G3="","",ROW()-1)</f>
        <v/>
      </c>
      <c r="B3" s="6" t="inlineStr">
        <is>
          <t>2026-05-29</t>
        </is>
      </c>
      <c r="C3" t="inlineStr">
        <is>
          <t>JINDALSTEL</t>
        </is>
      </c>
      <c r="D3" t="inlineStr">
        <is>
          <t>NSE</t>
        </is>
      </c>
      <c r="E3" t="inlineStr">
        <is>
          <t>Equity Delivery</t>
        </is>
      </c>
      <c r="F3" t="inlineStr">
        <is>
          <t>SELL</t>
        </is>
      </c>
      <c r="G3" s="3" t="n">
        <v>50</v>
      </c>
      <c r="H3" s="3" t="n">
        <v>1222</v>
      </c>
      <c r="I3" t="inlineStr">
        <is>
          <t>T001</t>
        </is>
      </c>
      <c r="J3" t="inlineStr">
        <is>
          <t>Resistance exit</t>
        </is>
      </c>
      <c r="K3" s="3">
        <f>IF(G3="","",G3*H3)</f>
        <v/>
      </c>
      <c r="L3" s="3">
        <f>IF(G3="","",Settings!$C$5)</f>
        <v/>
      </c>
      <c r="M3" s="3">
        <f>IF(G3="","",IF(F3="SELL",K3*IF(E3="Equity Intraday",Settings!$C$8,Settings!$C$7),0))</f>
        <v/>
      </c>
      <c r="N3" s="3">
        <f>IF(G3="","",K3*(Settings!$C$9+Settings!$C$10))</f>
        <v/>
      </c>
      <c r="O3" s="3">
        <f>IF(G3="","",IF(F3="BUY",K3*Settings!$C$11,0))</f>
        <v/>
      </c>
      <c r="P3" s="3">
        <f>IF(G3="","",L3*Settings!$C$6)</f>
        <v/>
      </c>
      <c r="Q3" s="3">
        <f>IF(G3="","",IF(AND(F3="SELL",E3="Equity Delivery"),Settings!$C$13,0))</f>
        <v/>
      </c>
      <c r="R3" s="3">
        <f>IF(G3="","",SUM(L3:Q3))</f>
        <v/>
      </c>
      <c r="S3" s="3">
        <f>IF(G3="","",IF(F3="BUY",-(K3+R3),K3-R3))</f>
        <v/>
      </c>
    </row>
    <row r="4">
      <c r="A4">
        <f>IF(G4="","",ROW()-1)</f>
        <v/>
      </c>
      <c r="B4" s="6" t="n"/>
      <c r="G4" s="3" t="n"/>
      <c r="H4" s="3" t="n"/>
      <c r="K4" s="3">
        <f>IF(G4="","",G4*H4)</f>
        <v/>
      </c>
      <c r="L4" s="3">
        <f>IF(G4="","",Settings!$C$5)</f>
        <v/>
      </c>
      <c r="M4" s="3">
        <f>IF(G4="","",IF(F4="SELL",K4*IF(E4="Equity Intraday",Settings!$C$8,Settings!$C$7),0))</f>
        <v/>
      </c>
      <c r="N4" s="3">
        <f>IF(G4="","",K4*(Settings!$C$9+Settings!$C$10))</f>
        <v/>
      </c>
      <c r="O4" s="3">
        <f>IF(G4="","",IF(F4="BUY",K4*Settings!$C$11,0))</f>
        <v/>
      </c>
      <c r="P4" s="3">
        <f>IF(G4="","",L4*Settings!$C$6)</f>
        <v/>
      </c>
      <c r="Q4" s="3">
        <f>IF(G4="","",IF(AND(F4="SELL",E4="Equity Delivery"),Settings!$C$13,0))</f>
        <v/>
      </c>
      <c r="R4" s="3">
        <f>IF(G4="","",SUM(L4:Q4))</f>
        <v/>
      </c>
      <c r="S4" s="3">
        <f>IF(G4="","",IF(F4="BUY",-(K4+R4),K4-R4))</f>
        <v/>
      </c>
    </row>
    <row r="5">
      <c r="A5">
        <f>IF(G5="","",ROW()-1)</f>
        <v/>
      </c>
      <c r="B5" s="6" t="n"/>
      <c r="G5" s="3" t="n"/>
      <c r="H5" s="3" t="n"/>
      <c r="K5" s="3">
        <f>IF(G5="","",G5*H5)</f>
        <v/>
      </c>
      <c r="L5" s="3">
        <f>IF(G5="","",Settings!$C$5)</f>
        <v/>
      </c>
      <c r="M5" s="3">
        <f>IF(G5="","",IF(F5="SELL",K5*IF(E5="Equity Intraday",Settings!$C$8,Settings!$C$7),0))</f>
        <v/>
      </c>
      <c r="N5" s="3">
        <f>IF(G5="","",K5*(Settings!$C$9+Settings!$C$10))</f>
        <v/>
      </c>
      <c r="O5" s="3">
        <f>IF(G5="","",IF(F5="BUY",K5*Settings!$C$11,0))</f>
        <v/>
      </c>
      <c r="P5" s="3">
        <f>IF(G5="","",L5*Settings!$C$6)</f>
        <v/>
      </c>
      <c r="Q5" s="3">
        <f>IF(G5="","",IF(AND(F5="SELL",E5="Equity Delivery"),Settings!$C$13,0))</f>
        <v/>
      </c>
      <c r="R5" s="3">
        <f>IF(G5="","",SUM(L5:Q5))</f>
        <v/>
      </c>
      <c r="S5" s="3">
        <f>IF(G5="","",IF(F5="BUY",-(K5+R5),K5-R5))</f>
        <v/>
      </c>
    </row>
    <row r="6">
      <c r="A6">
        <f>IF(G6="","",ROW()-1)</f>
        <v/>
      </c>
      <c r="B6" s="6" t="n"/>
      <c r="G6" s="3" t="n"/>
      <c r="H6" s="3" t="n"/>
      <c r="K6" s="3">
        <f>IF(G6="","",G6*H6)</f>
        <v/>
      </c>
      <c r="L6" s="3">
        <f>IF(G6="","",Settings!$C$5)</f>
        <v/>
      </c>
      <c r="M6" s="3">
        <f>IF(G6="","",IF(F6="SELL",K6*IF(E6="Equity Intraday",Settings!$C$8,Settings!$C$7),0))</f>
        <v/>
      </c>
      <c r="N6" s="3">
        <f>IF(G6="","",K6*(Settings!$C$9+Settings!$C$10))</f>
        <v/>
      </c>
      <c r="O6" s="3">
        <f>IF(G6="","",IF(F6="BUY",K6*Settings!$C$11,0))</f>
        <v/>
      </c>
      <c r="P6" s="3">
        <f>IF(G6="","",L6*Settings!$C$6)</f>
        <v/>
      </c>
      <c r="Q6" s="3">
        <f>IF(G6="","",IF(AND(F6="SELL",E6="Equity Delivery"),Settings!$C$13,0))</f>
        <v/>
      </c>
      <c r="R6" s="3">
        <f>IF(G6="","",SUM(L6:Q6))</f>
        <v/>
      </c>
      <c r="S6" s="3">
        <f>IF(G6="","",IF(F6="BUY",-(K6+R6),K6-R6))</f>
        <v/>
      </c>
    </row>
    <row r="7">
      <c r="A7">
        <f>IF(G7="","",ROW()-1)</f>
        <v/>
      </c>
      <c r="B7" s="6" t="n"/>
      <c r="G7" s="3" t="n"/>
      <c r="H7" s="3" t="n"/>
      <c r="K7" s="3">
        <f>IF(G7="","",G7*H7)</f>
        <v/>
      </c>
      <c r="L7" s="3">
        <f>IF(G7="","",Settings!$C$5)</f>
        <v/>
      </c>
      <c r="M7" s="3">
        <f>IF(G7="","",IF(F7="SELL",K7*IF(E7="Equity Intraday",Settings!$C$8,Settings!$C$7),0))</f>
        <v/>
      </c>
      <c r="N7" s="3">
        <f>IF(G7="","",K7*(Settings!$C$9+Settings!$C$10))</f>
        <v/>
      </c>
      <c r="O7" s="3">
        <f>IF(G7="","",IF(F7="BUY",K7*Settings!$C$11,0))</f>
        <v/>
      </c>
      <c r="P7" s="3">
        <f>IF(G7="","",L7*Settings!$C$6)</f>
        <v/>
      </c>
      <c r="Q7" s="3">
        <f>IF(G7="","",IF(AND(F7="SELL",E7="Equity Delivery"),Settings!$C$13,0))</f>
        <v/>
      </c>
      <c r="R7" s="3">
        <f>IF(G7="","",SUM(L7:Q7))</f>
        <v/>
      </c>
      <c r="S7" s="3">
        <f>IF(G7="","",IF(F7="BUY",-(K7+R7),K7-R7))</f>
        <v/>
      </c>
    </row>
    <row r="8">
      <c r="A8">
        <f>IF(G8="","",ROW()-1)</f>
        <v/>
      </c>
      <c r="B8" s="6" t="n"/>
      <c r="G8" s="3" t="n"/>
      <c r="H8" s="3" t="n"/>
      <c r="K8" s="3">
        <f>IF(G8="","",G8*H8)</f>
        <v/>
      </c>
      <c r="L8" s="3">
        <f>IF(G8="","",Settings!$C$5)</f>
        <v/>
      </c>
      <c r="M8" s="3">
        <f>IF(G8="","",IF(F8="SELL",K8*IF(E8="Equity Intraday",Settings!$C$8,Settings!$C$7),0))</f>
        <v/>
      </c>
      <c r="N8" s="3">
        <f>IF(G8="","",K8*(Settings!$C$9+Settings!$C$10))</f>
        <v/>
      </c>
      <c r="O8" s="3">
        <f>IF(G8="","",IF(F8="BUY",K8*Settings!$C$11,0))</f>
        <v/>
      </c>
      <c r="P8" s="3">
        <f>IF(G8="","",L8*Settings!$C$6)</f>
        <v/>
      </c>
      <c r="Q8" s="3">
        <f>IF(G8="","",IF(AND(F8="SELL",E8="Equity Delivery"),Settings!$C$13,0))</f>
        <v/>
      </c>
      <c r="R8" s="3">
        <f>IF(G8="","",SUM(L8:Q8))</f>
        <v/>
      </c>
      <c r="S8" s="3">
        <f>IF(G8="","",IF(F8="BUY",-(K8+R8),K8-R8))</f>
        <v/>
      </c>
    </row>
    <row r="9">
      <c r="A9">
        <f>IF(G9="","",ROW()-1)</f>
        <v/>
      </c>
      <c r="B9" s="6" t="n"/>
      <c r="G9" s="3" t="n"/>
      <c r="H9" s="3" t="n"/>
      <c r="K9" s="3">
        <f>IF(G9="","",G9*H9)</f>
        <v/>
      </c>
      <c r="L9" s="3">
        <f>IF(G9="","",Settings!$C$5)</f>
        <v/>
      </c>
      <c r="M9" s="3">
        <f>IF(G9="","",IF(F9="SELL",K9*IF(E9="Equity Intraday",Settings!$C$8,Settings!$C$7),0))</f>
        <v/>
      </c>
      <c r="N9" s="3">
        <f>IF(G9="","",K9*(Settings!$C$9+Settings!$C$10))</f>
        <v/>
      </c>
      <c r="O9" s="3">
        <f>IF(G9="","",IF(F9="BUY",K9*Settings!$C$11,0))</f>
        <v/>
      </c>
      <c r="P9" s="3">
        <f>IF(G9="","",L9*Settings!$C$6)</f>
        <v/>
      </c>
      <c r="Q9" s="3">
        <f>IF(G9="","",IF(AND(F9="SELL",E9="Equity Delivery"),Settings!$C$13,0))</f>
        <v/>
      </c>
      <c r="R9" s="3">
        <f>IF(G9="","",SUM(L9:Q9))</f>
        <v/>
      </c>
      <c r="S9" s="3">
        <f>IF(G9="","",IF(F9="BUY",-(K9+R9),K9-R9))</f>
        <v/>
      </c>
    </row>
    <row r="10">
      <c r="A10">
        <f>IF(G10="","",ROW()-1)</f>
        <v/>
      </c>
      <c r="B10" s="6" t="n"/>
      <c r="G10" s="3" t="n"/>
      <c r="H10" s="3" t="n"/>
      <c r="K10" s="3">
        <f>IF(G10="","",G10*H10)</f>
        <v/>
      </c>
      <c r="L10" s="3">
        <f>IF(G10="","",Settings!$C$5)</f>
        <v/>
      </c>
      <c r="M10" s="3">
        <f>IF(G10="","",IF(F10="SELL",K10*IF(E10="Equity Intraday",Settings!$C$8,Settings!$C$7),0))</f>
        <v/>
      </c>
      <c r="N10" s="3">
        <f>IF(G10="","",K10*(Settings!$C$9+Settings!$C$10))</f>
        <v/>
      </c>
      <c r="O10" s="3">
        <f>IF(G10="","",IF(F10="BUY",K10*Settings!$C$11,0))</f>
        <v/>
      </c>
      <c r="P10" s="3">
        <f>IF(G10="","",L10*Settings!$C$6)</f>
        <v/>
      </c>
      <c r="Q10" s="3">
        <f>IF(G10="","",IF(AND(F10="SELL",E10="Equity Delivery"),Settings!$C$13,0))</f>
        <v/>
      </c>
      <c r="R10" s="3">
        <f>IF(G10="","",SUM(L10:Q10))</f>
        <v/>
      </c>
      <c r="S10" s="3">
        <f>IF(G10="","",IF(F10="BUY",-(K10+R10),K10-R10))</f>
        <v/>
      </c>
    </row>
    <row r="11">
      <c r="A11">
        <f>IF(G11="","",ROW()-1)</f>
        <v/>
      </c>
      <c r="B11" s="6" t="n"/>
      <c r="G11" s="3" t="n"/>
      <c r="H11" s="3" t="n"/>
      <c r="K11" s="3">
        <f>IF(G11="","",G11*H11)</f>
        <v/>
      </c>
      <c r="L11" s="3">
        <f>IF(G11="","",Settings!$C$5)</f>
        <v/>
      </c>
      <c r="M11" s="3">
        <f>IF(G11="","",IF(F11="SELL",K11*IF(E11="Equity Intraday",Settings!$C$8,Settings!$C$7),0))</f>
        <v/>
      </c>
      <c r="N11" s="3">
        <f>IF(G11="","",K11*(Settings!$C$9+Settings!$C$10))</f>
        <v/>
      </c>
      <c r="O11" s="3">
        <f>IF(G11="","",IF(F11="BUY",K11*Settings!$C$11,0))</f>
        <v/>
      </c>
      <c r="P11" s="3">
        <f>IF(G11="","",L11*Settings!$C$6)</f>
        <v/>
      </c>
      <c r="Q11" s="3">
        <f>IF(G11="","",IF(AND(F11="SELL",E11="Equity Delivery"),Settings!$C$13,0))</f>
        <v/>
      </c>
      <c r="R11" s="3">
        <f>IF(G11="","",SUM(L11:Q11))</f>
        <v/>
      </c>
      <c r="S11" s="3">
        <f>IF(G11="","",IF(F11="BUY",-(K11+R11),K11-R11))</f>
        <v/>
      </c>
    </row>
    <row r="12">
      <c r="A12">
        <f>IF(G12="","",ROW()-1)</f>
        <v/>
      </c>
      <c r="B12" s="6" t="n"/>
      <c r="G12" s="3" t="n"/>
      <c r="H12" s="3" t="n"/>
      <c r="K12" s="3">
        <f>IF(G12="","",G12*H12)</f>
        <v/>
      </c>
      <c r="L12" s="3">
        <f>IF(G12="","",Settings!$C$5)</f>
        <v/>
      </c>
      <c r="M12" s="3">
        <f>IF(G12="","",IF(F12="SELL",K12*IF(E12="Equity Intraday",Settings!$C$8,Settings!$C$7),0))</f>
        <v/>
      </c>
      <c r="N12" s="3">
        <f>IF(G12="","",K12*(Settings!$C$9+Settings!$C$10))</f>
        <v/>
      </c>
      <c r="O12" s="3">
        <f>IF(G12="","",IF(F12="BUY",K12*Settings!$C$11,0))</f>
        <v/>
      </c>
      <c r="P12" s="3">
        <f>IF(G12="","",L12*Settings!$C$6)</f>
        <v/>
      </c>
      <c r="Q12" s="3">
        <f>IF(G12="","",IF(AND(F12="SELL",E12="Equity Delivery"),Settings!$C$13,0))</f>
        <v/>
      </c>
      <c r="R12" s="3">
        <f>IF(G12="","",SUM(L12:Q12))</f>
        <v/>
      </c>
      <c r="S12" s="3">
        <f>IF(G12="","",IF(F12="BUY",-(K12+R12),K12-R12))</f>
        <v/>
      </c>
    </row>
    <row r="13">
      <c r="A13">
        <f>IF(G13="","",ROW()-1)</f>
        <v/>
      </c>
      <c r="B13" s="6" t="n"/>
      <c r="G13" s="3" t="n"/>
      <c r="H13" s="3" t="n"/>
      <c r="K13" s="3">
        <f>IF(G13="","",G13*H13)</f>
        <v/>
      </c>
      <c r="L13" s="3">
        <f>IF(G13="","",Settings!$C$5)</f>
        <v/>
      </c>
      <c r="M13" s="3">
        <f>IF(G13="","",IF(F13="SELL",K13*IF(E13="Equity Intraday",Settings!$C$8,Settings!$C$7),0))</f>
        <v/>
      </c>
      <c r="N13" s="3">
        <f>IF(G13="","",K13*(Settings!$C$9+Settings!$C$10))</f>
        <v/>
      </c>
      <c r="O13" s="3">
        <f>IF(G13="","",IF(F13="BUY",K13*Settings!$C$11,0))</f>
        <v/>
      </c>
      <c r="P13" s="3">
        <f>IF(G13="","",L13*Settings!$C$6)</f>
        <v/>
      </c>
      <c r="Q13" s="3">
        <f>IF(G13="","",IF(AND(F13="SELL",E13="Equity Delivery"),Settings!$C$13,0))</f>
        <v/>
      </c>
      <c r="R13" s="3">
        <f>IF(G13="","",SUM(L13:Q13))</f>
        <v/>
      </c>
      <c r="S13" s="3">
        <f>IF(G13="","",IF(F13="BUY",-(K13+R13),K13-R13))</f>
        <v/>
      </c>
    </row>
    <row r="14">
      <c r="A14">
        <f>IF(G14="","",ROW()-1)</f>
        <v/>
      </c>
      <c r="B14" s="6" t="n"/>
      <c r="G14" s="3" t="n"/>
      <c r="H14" s="3" t="n"/>
      <c r="K14" s="3">
        <f>IF(G14="","",G14*H14)</f>
        <v/>
      </c>
      <c r="L14" s="3">
        <f>IF(G14="","",Settings!$C$5)</f>
        <v/>
      </c>
      <c r="M14" s="3">
        <f>IF(G14="","",IF(F14="SELL",K14*IF(E14="Equity Intraday",Settings!$C$8,Settings!$C$7),0))</f>
        <v/>
      </c>
      <c r="N14" s="3">
        <f>IF(G14="","",K14*(Settings!$C$9+Settings!$C$10))</f>
        <v/>
      </c>
      <c r="O14" s="3">
        <f>IF(G14="","",IF(F14="BUY",K14*Settings!$C$11,0))</f>
        <v/>
      </c>
      <c r="P14" s="3">
        <f>IF(G14="","",L14*Settings!$C$6)</f>
        <v/>
      </c>
      <c r="Q14" s="3">
        <f>IF(G14="","",IF(AND(F14="SELL",E14="Equity Delivery"),Settings!$C$13,0))</f>
        <v/>
      </c>
      <c r="R14" s="3">
        <f>IF(G14="","",SUM(L14:Q14))</f>
        <v/>
      </c>
      <c r="S14" s="3">
        <f>IF(G14="","",IF(F14="BUY",-(K14+R14),K14-R14))</f>
        <v/>
      </c>
    </row>
    <row r="15">
      <c r="A15">
        <f>IF(G15="","",ROW()-1)</f>
        <v/>
      </c>
      <c r="B15" s="6" t="n"/>
      <c r="G15" s="3" t="n"/>
      <c r="H15" s="3" t="n"/>
      <c r="K15" s="3">
        <f>IF(G15="","",G15*H15)</f>
        <v/>
      </c>
      <c r="L15" s="3">
        <f>IF(G15="","",Settings!$C$5)</f>
        <v/>
      </c>
      <c r="M15" s="3">
        <f>IF(G15="","",IF(F15="SELL",K15*IF(E15="Equity Intraday",Settings!$C$8,Settings!$C$7),0))</f>
        <v/>
      </c>
      <c r="N15" s="3">
        <f>IF(G15="","",K15*(Settings!$C$9+Settings!$C$10))</f>
        <v/>
      </c>
      <c r="O15" s="3">
        <f>IF(G15="","",IF(F15="BUY",K15*Settings!$C$11,0))</f>
        <v/>
      </c>
      <c r="P15" s="3">
        <f>IF(G15="","",L15*Settings!$C$6)</f>
        <v/>
      </c>
      <c r="Q15" s="3">
        <f>IF(G15="","",IF(AND(F15="SELL",E15="Equity Delivery"),Settings!$C$13,0))</f>
        <v/>
      </c>
      <c r="R15" s="3">
        <f>IF(G15="","",SUM(L15:Q15))</f>
        <v/>
      </c>
      <c r="S15" s="3">
        <f>IF(G15="","",IF(F15="BUY",-(K15+R15),K15-R15))</f>
        <v/>
      </c>
    </row>
    <row r="16">
      <c r="A16">
        <f>IF(G16="","",ROW()-1)</f>
        <v/>
      </c>
      <c r="B16" s="6" t="n"/>
      <c r="G16" s="3" t="n"/>
      <c r="H16" s="3" t="n"/>
      <c r="K16" s="3">
        <f>IF(G16="","",G16*H16)</f>
        <v/>
      </c>
      <c r="L16" s="3">
        <f>IF(G16="","",Settings!$C$5)</f>
        <v/>
      </c>
      <c r="M16" s="3">
        <f>IF(G16="","",IF(F16="SELL",K16*IF(E16="Equity Intraday",Settings!$C$8,Settings!$C$7),0))</f>
        <v/>
      </c>
      <c r="N16" s="3">
        <f>IF(G16="","",K16*(Settings!$C$9+Settings!$C$10))</f>
        <v/>
      </c>
      <c r="O16" s="3">
        <f>IF(G16="","",IF(F16="BUY",K16*Settings!$C$11,0))</f>
        <v/>
      </c>
      <c r="P16" s="3">
        <f>IF(G16="","",L16*Settings!$C$6)</f>
        <v/>
      </c>
      <c r="Q16" s="3">
        <f>IF(G16="","",IF(AND(F16="SELL",E16="Equity Delivery"),Settings!$C$13,0))</f>
        <v/>
      </c>
      <c r="R16" s="3">
        <f>IF(G16="","",SUM(L16:Q16))</f>
        <v/>
      </c>
      <c r="S16" s="3">
        <f>IF(G16="","",IF(F16="BUY",-(K16+R16),K16-R16))</f>
        <v/>
      </c>
    </row>
    <row r="17">
      <c r="A17">
        <f>IF(G17="","",ROW()-1)</f>
        <v/>
      </c>
      <c r="B17" s="6" t="n"/>
      <c r="G17" s="3" t="n"/>
      <c r="H17" s="3" t="n"/>
      <c r="K17" s="3">
        <f>IF(G17="","",G17*H17)</f>
        <v/>
      </c>
      <c r="L17" s="3">
        <f>IF(G17="","",Settings!$C$5)</f>
        <v/>
      </c>
      <c r="M17" s="3">
        <f>IF(G17="","",IF(F17="SELL",K17*IF(E17="Equity Intraday",Settings!$C$8,Settings!$C$7),0))</f>
        <v/>
      </c>
      <c r="N17" s="3">
        <f>IF(G17="","",K17*(Settings!$C$9+Settings!$C$10))</f>
        <v/>
      </c>
      <c r="O17" s="3">
        <f>IF(G17="","",IF(F17="BUY",K17*Settings!$C$11,0))</f>
        <v/>
      </c>
      <c r="P17" s="3">
        <f>IF(G17="","",L17*Settings!$C$6)</f>
        <v/>
      </c>
      <c r="Q17" s="3">
        <f>IF(G17="","",IF(AND(F17="SELL",E17="Equity Delivery"),Settings!$C$13,0))</f>
        <v/>
      </c>
      <c r="R17" s="3">
        <f>IF(G17="","",SUM(L17:Q17))</f>
        <v/>
      </c>
      <c r="S17" s="3">
        <f>IF(G17="","",IF(F17="BUY",-(K17+R17),K17-R17))</f>
        <v/>
      </c>
    </row>
    <row r="18">
      <c r="A18">
        <f>IF(G18="","",ROW()-1)</f>
        <v/>
      </c>
      <c r="B18" s="6" t="n"/>
      <c r="G18" s="3" t="n"/>
      <c r="H18" s="3" t="n"/>
      <c r="K18" s="3">
        <f>IF(G18="","",G18*H18)</f>
        <v/>
      </c>
      <c r="L18" s="3">
        <f>IF(G18="","",Settings!$C$5)</f>
        <v/>
      </c>
      <c r="M18" s="3">
        <f>IF(G18="","",IF(F18="SELL",K18*IF(E18="Equity Intraday",Settings!$C$8,Settings!$C$7),0))</f>
        <v/>
      </c>
      <c r="N18" s="3">
        <f>IF(G18="","",K18*(Settings!$C$9+Settings!$C$10))</f>
        <v/>
      </c>
      <c r="O18" s="3">
        <f>IF(G18="","",IF(F18="BUY",K18*Settings!$C$11,0))</f>
        <v/>
      </c>
      <c r="P18" s="3">
        <f>IF(G18="","",L18*Settings!$C$6)</f>
        <v/>
      </c>
      <c r="Q18" s="3">
        <f>IF(G18="","",IF(AND(F18="SELL",E18="Equity Delivery"),Settings!$C$13,0))</f>
        <v/>
      </c>
      <c r="R18" s="3">
        <f>IF(G18="","",SUM(L18:Q18))</f>
        <v/>
      </c>
      <c r="S18" s="3">
        <f>IF(G18="","",IF(F18="BUY",-(K18+R18),K18-R18))</f>
        <v/>
      </c>
    </row>
    <row r="19">
      <c r="A19">
        <f>IF(G19="","",ROW()-1)</f>
        <v/>
      </c>
      <c r="B19" s="6" t="n"/>
      <c r="G19" s="3" t="n"/>
      <c r="H19" s="3" t="n"/>
      <c r="K19" s="3">
        <f>IF(G19="","",G19*H19)</f>
        <v/>
      </c>
      <c r="L19" s="3">
        <f>IF(G19="","",Settings!$C$5)</f>
        <v/>
      </c>
      <c r="M19" s="3">
        <f>IF(G19="","",IF(F19="SELL",K19*IF(E19="Equity Intraday",Settings!$C$8,Settings!$C$7),0))</f>
        <v/>
      </c>
      <c r="N19" s="3">
        <f>IF(G19="","",K19*(Settings!$C$9+Settings!$C$10))</f>
        <v/>
      </c>
      <c r="O19" s="3">
        <f>IF(G19="","",IF(F19="BUY",K19*Settings!$C$11,0))</f>
        <v/>
      </c>
      <c r="P19" s="3">
        <f>IF(G19="","",L19*Settings!$C$6)</f>
        <v/>
      </c>
      <c r="Q19" s="3">
        <f>IF(G19="","",IF(AND(F19="SELL",E19="Equity Delivery"),Settings!$C$13,0))</f>
        <v/>
      </c>
      <c r="R19" s="3">
        <f>IF(G19="","",SUM(L19:Q19))</f>
        <v/>
      </c>
      <c r="S19" s="3">
        <f>IF(G19="","",IF(F19="BUY",-(K19+R19),K19-R19))</f>
        <v/>
      </c>
    </row>
    <row r="20">
      <c r="A20">
        <f>IF(G20="","",ROW()-1)</f>
        <v/>
      </c>
      <c r="B20" s="6" t="n"/>
      <c r="G20" s="3" t="n"/>
      <c r="H20" s="3" t="n"/>
      <c r="K20" s="3">
        <f>IF(G20="","",G20*H20)</f>
        <v/>
      </c>
      <c r="L20" s="3">
        <f>IF(G20="","",Settings!$C$5)</f>
        <v/>
      </c>
      <c r="M20" s="3">
        <f>IF(G20="","",IF(F20="SELL",K20*IF(E20="Equity Intraday",Settings!$C$8,Settings!$C$7),0))</f>
        <v/>
      </c>
      <c r="N20" s="3">
        <f>IF(G20="","",K20*(Settings!$C$9+Settings!$C$10))</f>
        <v/>
      </c>
      <c r="O20" s="3">
        <f>IF(G20="","",IF(F20="BUY",K20*Settings!$C$11,0))</f>
        <v/>
      </c>
      <c r="P20" s="3">
        <f>IF(G20="","",L20*Settings!$C$6)</f>
        <v/>
      </c>
      <c r="Q20" s="3">
        <f>IF(G20="","",IF(AND(F20="SELL",E20="Equity Delivery"),Settings!$C$13,0))</f>
        <v/>
      </c>
      <c r="R20" s="3">
        <f>IF(G20="","",SUM(L20:Q20))</f>
        <v/>
      </c>
      <c r="S20" s="3">
        <f>IF(G20="","",IF(F20="BUY",-(K20+R20),K20-R20))</f>
        <v/>
      </c>
    </row>
    <row r="21">
      <c r="A21">
        <f>IF(G21="","",ROW()-1)</f>
        <v/>
      </c>
      <c r="B21" s="6" t="n"/>
      <c r="G21" s="3" t="n"/>
      <c r="H21" s="3" t="n"/>
      <c r="K21" s="3">
        <f>IF(G21="","",G21*H21)</f>
        <v/>
      </c>
      <c r="L21" s="3">
        <f>IF(G21="","",Settings!$C$5)</f>
        <v/>
      </c>
      <c r="M21" s="3">
        <f>IF(G21="","",IF(F21="SELL",K21*IF(E21="Equity Intraday",Settings!$C$8,Settings!$C$7),0))</f>
        <v/>
      </c>
      <c r="N21" s="3">
        <f>IF(G21="","",K21*(Settings!$C$9+Settings!$C$10))</f>
        <v/>
      </c>
      <c r="O21" s="3">
        <f>IF(G21="","",IF(F21="BUY",K21*Settings!$C$11,0))</f>
        <v/>
      </c>
      <c r="P21" s="3">
        <f>IF(G21="","",L21*Settings!$C$6)</f>
        <v/>
      </c>
      <c r="Q21" s="3">
        <f>IF(G21="","",IF(AND(F21="SELL",E21="Equity Delivery"),Settings!$C$13,0))</f>
        <v/>
      </c>
      <c r="R21" s="3">
        <f>IF(G21="","",SUM(L21:Q21))</f>
        <v/>
      </c>
      <c r="S21" s="3">
        <f>IF(G21="","",IF(F21="BUY",-(K21+R21),K21-R21))</f>
        <v/>
      </c>
    </row>
    <row r="22">
      <c r="A22">
        <f>IF(G22="","",ROW()-1)</f>
        <v/>
      </c>
      <c r="B22" s="6" t="n"/>
      <c r="G22" s="3" t="n"/>
      <c r="H22" s="3" t="n"/>
      <c r="K22" s="3">
        <f>IF(G22="","",G22*H22)</f>
        <v/>
      </c>
      <c r="L22" s="3">
        <f>IF(G22="","",Settings!$C$5)</f>
        <v/>
      </c>
      <c r="M22" s="3">
        <f>IF(G22="","",IF(F22="SELL",K22*IF(E22="Equity Intraday",Settings!$C$8,Settings!$C$7),0))</f>
        <v/>
      </c>
      <c r="N22" s="3">
        <f>IF(G22="","",K22*(Settings!$C$9+Settings!$C$10))</f>
        <v/>
      </c>
      <c r="O22" s="3">
        <f>IF(G22="","",IF(F22="BUY",K22*Settings!$C$11,0))</f>
        <v/>
      </c>
      <c r="P22" s="3">
        <f>IF(G22="","",L22*Settings!$C$6)</f>
        <v/>
      </c>
      <c r="Q22" s="3">
        <f>IF(G22="","",IF(AND(F22="SELL",E22="Equity Delivery"),Settings!$C$13,0))</f>
        <v/>
      </c>
      <c r="R22" s="3">
        <f>IF(G22="","",SUM(L22:Q22))</f>
        <v/>
      </c>
      <c r="S22" s="3">
        <f>IF(G22="","",IF(F22="BUY",-(K22+R22),K22-R22))</f>
        <v/>
      </c>
    </row>
    <row r="23">
      <c r="A23">
        <f>IF(G23="","",ROW()-1)</f>
        <v/>
      </c>
      <c r="B23" s="6" t="n"/>
      <c r="G23" s="3" t="n"/>
      <c r="H23" s="3" t="n"/>
      <c r="K23" s="3">
        <f>IF(G23="","",G23*H23)</f>
        <v/>
      </c>
      <c r="L23" s="3">
        <f>IF(G23="","",Settings!$C$5)</f>
        <v/>
      </c>
      <c r="M23" s="3">
        <f>IF(G23="","",IF(F23="SELL",K23*IF(E23="Equity Intraday",Settings!$C$8,Settings!$C$7),0))</f>
        <v/>
      </c>
      <c r="N23" s="3">
        <f>IF(G23="","",K23*(Settings!$C$9+Settings!$C$10))</f>
        <v/>
      </c>
      <c r="O23" s="3">
        <f>IF(G23="","",IF(F23="BUY",K23*Settings!$C$11,0))</f>
        <v/>
      </c>
      <c r="P23" s="3">
        <f>IF(G23="","",L23*Settings!$C$6)</f>
        <v/>
      </c>
      <c r="Q23" s="3">
        <f>IF(G23="","",IF(AND(F23="SELL",E23="Equity Delivery"),Settings!$C$13,0))</f>
        <v/>
      </c>
      <c r="R23" s="3">
        <f>IF(G23="","",SUM(L23:Q23))</f>
        <v/>
      </c>
      <c r="S23" s="3">
        <f>IF(G23="","",IF(F23="BUY",-(K23+R23),K23-R23))</f>
        <v/>
      </c>
    </row>
    <row r="24">
      <c r="A24">
        <f>IF(G24="","",ROW()-1)</f>
        <v/>
      </c>
      <c r="B24" s="6" t="n"/>
      <c r="G24" s="3" t="n"/>
      <c r="H24" s="3" t="n"/>
      <c r="K24" s="3">
        <f>IF(G24="","",G24*H24)</f>
        <v/>
      </c>
      <c r="L24" s="3">
        <f>IF(G24="","",Settings!$C$5)</f>
        <v/>
      </c>
      <c r="M24" s="3">
        <f>IF(G24="","",IF(F24="SELL",K24*IF(E24="Equity Intraday",Settings!$C$8,Settings!$C$7),0))</f>
        <v/>
      </c>
      <c r="N24" s="3">
        <f>IF(G24="","",K24*(Settings!$C$9+Settings!$C$10))</f>
        <v/>
      </c>
      <c r="O24" s="3">
        <f>IF(G24="","",IF(F24="BUY",K24*Settings!$C$11,0))</f>
        <v/>
      </c>
      <c r="P24" s="3">
        <f>IF(G24="","",L24*Settings!$C$6)</f>
        <v/>
      </c>
      <c r="Q24" s="3">
        <f>IF(G24="","",IF(AND(F24="SELL",E24="Equity Delivery"),Settings!$C$13,0))</f>
        <v/>
      </c>
      <c r="R24" s="3">
        <f>IF(G24="","",SUM(L24:Q24))</f>
        <v/>
      </c>
      <c r="S24" s="3">
        <f>IF(G24="","",IF(F24="BUY",-(K24+R24),K24-R24))</f>
        <v/>
      </c>
    </row>
    <row r="25">
      <c r="A25">
        <f>IF(G25="","",ROW()-1)</f>
        <v/>
      </c>
      <c r="B25" s="6" t="n"/>
      <c r="G25" s="3" t="n"/>
      <c r="H25" s="3" t="n"/>
      <c r="K25" s="3">
        <f>IF(G25="","",G25*H25)</f>
        <v/>
      </c>
      <c r="L25" s="3">
        <f>IF(G25="","",Settings!$C$5)</f>
        <v/>
      </c>
      <c r="M25" s="3">
        <f>IF(G25="","",IF(F25="SELL",K25*IF(E25="Equity Intraday",Settings!$C$8,Settings!$C$7),0))</f>
        <v/>
      </c>
      <c r="N25" s="3">
        <f>IF(G25="","",K25*(Settings!$C$9+Settings!$C$10))</f>
        <v/>
      </c>
      <c r="O25" s="3">
        <f>IF(G25="","",IF(F25="BUY",K25*Settings!$C$11,0))</f>
        <v/>
      </c>
      <c r="P25" s="3">
        <f>IF(G25="","",L25*Settings!$C$6)</f>
        <v/>
      </c>
      <c r="Q25" s="3">
        <f>IF(G25="","",IF(AND(F25="SELL",E25="Equity Delivery"),Settings!$C$13,0))</f>
        <v/>
      </c>
      <c r="R25" s="3">
        <f>IF(G25="","",SUM(L25:Q25))</f>
        <v/>
      </c>
      <c r="S25" s="3">
        <f>IF(G25="","",IF(F25="BUY",-(K25+R25),K25-R25))</f>
        <v/>
      </c>
    </row>
    <row r="26">
      <c r="A26">
        <f>IF(G26="","",ROW()-1)</f>
        <v/>
      </c>
      <c r="B26" s="6" t="n"/>
      <c r="G26" s="3" t="n"/>
      <c r="H26" s="3" t="n"/>
      <c r="K26" s="3">
        <f>IF(G26="","",G26*H26)</f>
        <v/>
      </c>
      <c r="L26" s="3">
        <f>IF(G26="","",Settings!$C$5)</f>
        <v/>
      </c>
      <c r="M26" s="3">
        <f>IF(G26="","",IF(F26="SELL",K26*IF(E26="Equity Intraday",Settings!$C$8,Settings!$C$7),0))</f>
        <v/>
      </c>
      <c r="N26" s="3">
        <f>IF(G26="","",K26*(Settings!$C$9+Settings!$C$10))</f>
        <v/>
      </c>
      <c r="O26" s="3">
        <f>IF(G26="","",IF(F26="BUY",K26*Settings!$C$11,0))</f>
        <v/>
      </c>
      <c r="P26" s="3">
        <f>IF(G26="","",L26*Settings!$C$6)</f>
        <v/>
      </c>
      <c r="Q26" s="3">
        <f>IF(G26="","",IF(AND(F26="SELL",E26="Equity Delivery"),Settings!$C$13,0))</f>
        <v/>
      </c>
      <c r="R26" s="3">
        <f>IF(G26="","",SUM(L26:Q26))</f>
        <v/>
      </c>
      <c r="S26" s="3">
        <f>IF(G26="","",IF(F26="BUY",-(K26+R26),K26-R26))</f>
        <v/>
      </c>
    </row>
    <row r="27">
      <c r="A27">
        <f>IF(G27="","",ROW()-1)</f>
        <v/>
      </c>
      <c r="B27" s="6" t="n"/>
      <c r="G27" s="3" t="n"/>
      <c r="H27" s="3" t="n"/>
      <c r="K27" s="3">
        <f>IF(G27="","",G27*H27)</f>
        <v/>
      </c>
      <c r="L27" s="3">
        <f>IF(G27="","",Settings!$C$5)</f>
        <v/>
      </c>
      <c r="M27" s="3">
        <f>IF(G27="","",IF(F27="SELL",K27*IF(E27="Equity Intraday",Settings!$C$8,Settings!$C$7),0))</f>
        <v/>
      </c>
      <c r="N27" s="3">
        <f>IF(G27="","",K27*(Settings!$C$9+Settings!$C$10))</f>
        <v/>
      </c>
      <c r="O27" s="3">
        <f>IF(G27="","",IF(F27="BUY",K27*Settings!$C$11,0))</f>
        <v/>
      </c>
      <c r="P27" s="3">
        <f>IF(G27="","",L27*Settings!$C$6)</f>
        <v/>
      </c>
      <c r="Q27" s="3">
        <f>IF(G27="","",IF(AND(F27="SELL",E27="Equity Delivery"),Settings!$C$13,0))</f>
        <v/>
      </c>
      <c r="R27" s="3">
        <f>IF(G27="","",SUM(L27:Q27))</f>
        <v/>
      </c>
      <c r="S27" s="3">
        <f>IF(G27="","",IF(F27="BUY",-(K27+R27),K27-R27))</f>
        <v/>
      </c>
    </row>
    <row r="28">
      <c r="A28">
        <f>IF(G28="","",ROW()-1)</f>
        <v/>
      </c>
      <c r="B28" s="6" t="n"/>
      <c r="G28" s="3" t="n"/>
      <c r="H28" s="3" t="n"/>
      <c r="K28" s="3">
        <f>IF(G28="","",G28*H28)</f>
        <v/>
      </c>
      <c r="L28" s="3">
        <f>IF(G28="","",Settings!$C$5)</f>
        <v/>
      </c>
      <c r="M28" s="3">
        <f>IF(G28="","",IF(F28="SELL",K28*IF(E28="Equity Intraday",Settings!$C$8,Settings!$C$7),0))</f>
        <v/>
      </c>
      <c r="N28" s="3">
        <f>IF(G28="","",K28*(Settings!$C$9+Settings!$C$10))</f>
        <v/>
      </c>
      <c r="O28" s="3">
        <f>IF(G28="","",IF(F28="BUY",K28*Settings!$C$11,0))</f>
        <v/>
      </c>
      <c r="P28" s="3">
        <f>IF(G28="","",L28*Settings!$C$6)</f>
        <v/>
      </c>
      <c r="Q28" s="3">
        <f>IF(G28="","",IF(AND(F28="SELL",E28="Equity Delivery"),Settings!$C$13,0))</f>
        <v/>
      </c>
      <c r="R28" s="3">
        <f>IF(G28="","",SUM(L28:Q28))</f>
        <v/>
      </c>
      <c r="S28" s="3">
        <f>IF(G28="","",IF(F28="BUY",-(K28+R28),K28-R28))</f>
        <v/>
      </c>
    </row>
    <row r="29">
      <c r="A29">
        <f>IF(G29="","",ROW()-1)</f>
        <v/>
      </c>
      <c r="B29" s="6" t="n"/>
      <c r="G29" s="3" t="n"/>
      <c r="H29" s="3" t="n"/>
      <c r="K29" s="3">
        <f>IF(G29="","",G29*H29)</f>
        <v/>
      </c>
      <c r="L29" s="3">
        <f>IF(G29="","",Settings!$C$5)</f>
        <v/>
      </c>
      <c r="M29" s="3">
        <f>IF(G29="","",IF(F29="SELL",K29*IF(E29="Equity Intraday",Settings!$C$8,Settings!$C$7),0))</f>
        <v/>
      </c>
      <c r="N29" s="3">
        <f>IF(G29="","",K29*(Settings!$C$9+Settings!$C$10))</f>
        <v/>
      </c>
      <c r="O29" s="3">
        <f>IF(G29="","",IF(F29="BUY",K29*Settings!$C$11,0))</f>
        <v/>
      </c>
      <c r="P29" s="3">
        <f>IF(G29="","",L29*Settings!$C$6)</f>
        <v/>
      </c>
      <c r="Q29" s="3">
        <f>IF(G29="","",IF(AND(F29="SELL",E29="Equity Delivery"),Settings!$C$13,0))</f>
        <v/>
      </c>
      <c r="R29" s="3">
        <f>IF(G29="","",SUM(L29:Q29))</f>
        <v/>
      </c>
      <c r="S29" s="3">
        <f>IF(G29="","",IF(F29="BUY",-(K29+R29),K29-R29))</f>
        <v/>
      </c>
    </row>
    <row r="30">
      <c r="A30">
        <f>IF(G30="","",ROW()-1)</f>
        <v/>
      </c>
      <c r="B30" s="6" t="n"/>
      <c r="G30" s="3" t="n"/>
      <c r="H30" s="3" t="n"/>
      <c r="K30" s="3">
        <f>IF(G30="","",G30*H30)</f>
        <v/>
      </c>
      <c r="L30" s="3">
        <f>IF(G30="","",Settings!$C$5)</f>
        <v/>
      </c>
      <c r="M30" s="3">
        <f>IF(G30="","",IF(F30="SELL",K30*IF(E30="Equity Intraday",Settings!$C$8,Settings!$C$7),0))</f>
        <v/>
      </c>
      <c r="N30" s="3">
        <f>IF(G30="","",K30*(Settings!$C$9+Settings!$C$10))</f>
        <v/>
      </c>
      <c r="O30" s="3">
        <f>IF(G30="","",IF(F30="BUY",K30*Settings!$C$11,0))</f>
        <v/>
      </c>
      <c r="P30" s="3">
        <f>IF(G30="","",L30*Settings!$C$6)</f>
        <v/>
      </c>
      <c r="Q30" s="3">
        <f>IF(G30="","",IF(AND(F30="SELL",E30="Equity Delivery"),Settings!$C$13,0))</f>
        <v/>
      </c>
      <c r="R30" s="3">
        <f>IF(G30="","",SUM(L30:Q30))</f>
        <v/>
      </c>
      <c r="S30" s="3">
        <f>IF(G30="","",IF(F30="BUY",-(K30+R30),K30-R30))</f>
        <v/>
      </c>
    </row>
    <row r="31">
      <c r="A31">
        <f>IF(G31="","",ROW()-1)</f>
        <v/>
      </c>
      <c r="B31" s="6" t="n"/>
      <c r="G31" s="3" t="n"/>
      <c r="H31" s="3" t="n"/>
      <c r="K31" s="3">
        <f>IF(G31="","",G31*H31)</f>
        <v/>
      </c>
      <c r="L31" s="3">
        <f>IF(G31="","",Settings!$C$5)</f>
        <v/>
      </c>
      <c r="M31" s="3">
        <f>IF(G31="","",IF(F31="SELL",K31*IF(E31="Equity Intraday",Settings!$C$8,Settings!$C$7),0))</f>
        <v/>
      </c>
      <c r="N31" s="3">
        <f>IF(G31="","",K31*(Settings!$C$9+Settings!$C$10))</f>
        <v/>
      </c>
      <c r="O31" s="3">
        <f>IF(G31="","",IF(F31="BUY",K31*Settings!$C$11,0))</f>
        <v/>
      </c>
      <c r="P31" s="3">
        <f>IF(G31="","",L31*Settings!$C$6)</f>
        <v/>
      </c>
      <c r="Q31" s="3">
        <f>IF(G31="","",IF(AND(F31="SELL",E31="Equity Delivery"),Settings!$C$13,0))</f>
        <v/>
      </c>
      <c r="R31" s="3">
        <f>IF(G31="","",SUM(L31:Q31))</f>
        <v/>
      </c>
      <c r="S31" s="3">
        <f>IF(G31="","",IF(F31="BUY",-(K31+R31),K31-R31))</f>
        <v/>
      </c>
    </row>
    <row r="32">
      <c r="A32">
        <f>IF(G32="","",ROW()-1)</f>
        <v/>
      </c>
      <c r="B32" s="6" t="n"/>
      <c r="G32" s="3" t="n"/>
      <c r="H32" s="3" t="n"/>
      <c r="K32" s="3">
        <f>IF(G32="","",G32*H32)</f>
        <v/>
      </c>
      <c r="L32" s="3">
        <f>IF(G32="","",Settings!$C$5)</f>
        <v/>
      </c>
      <c r="M32" s="3">
        <f>IF(G32="","",IF(F32="SELL",K32*IF(E32="Equity Intraday",Settings!$C$8,Settings!$C$7),0))</f>
        <v/>
      </c>
      <c r="N32" s="3">
        <f>IF(G32="","",K32*(Settings!$C$9+Settings!$C$10))</f>
        <v/>
      </c>
      <c r="O32" s="3">
        <f>IF(G32="","",IF(F32="BUY",K32*Settings!$C$11,0))</f>
        <v/>
      </c>
      <c r="P32" s="3">
        <f>IF(G32="","",L32*Settings!$C$6)</f>
        <v/>
      </c>
      <c r="Q32" s="3">
        <f>IF(G32="","",IF(AND(F32="SELL",E32="Equity Delivery"),Settings!$C$13,0))</f>
        <v/>
      </c>
      <c r="R32" s="3">
        <f>IF(G32="","",SUM(L32:Q32))</f>
        <v/>
      </c>
      <c r="S32" s="3">
        <f>IF(G32="","",IF(F32="BUY",-(K32+R32),K32-R32))</f>
        <v/>
      </c>
    </row>
    <row r="33">
      <c r="A33">
        <f>IF(G33="","",ROW()-1)</f>
        <v/>
      </c>
      <c r="B33" s="6" t="n"/>
      <c r="G33" s="3" t="n"/>
      <c r="H33" s="3" t="n"/>
      <c r="K33" s="3">
        <f>IF(G33="","",G33*H33)</f>
        <v/>
      </c>
      <c r="L33" s="3">
        <f>IF(G33="","",Settings!$C$5)</f>
        <v/>
      </c>
      <c r="M33" s="3">
        <f>IF(G33="","",IF(F33="SELL",K33*IF(E33="Equity Intraday",Settings!$C$8,Settings!$C$7),0))</f>
        <v/>
      </c>
      <c r="N33" s="3">
        <f>IF(G33="","",K33*(Settings!$C$9+Settings!$C$10))</f>
        <v/>
      </c>
      <c r="O33" s="3">
        <f>IF(G33="","",IF(F33="BUY",K33*Settings!$C$11,0))</f>
        <v/>
      </c>
      <c r="P33" s="3">
        <f>IF(G33="","",L33*Settings!$C$6)</f>
        <v/>
      </c>
      <c r="Q33" s="3">
        <f>IF(G33="","",IF(AND(F33="SELL",E33="Equity Delivery"),Settings!$C$13,0))</f>
        <v/>
      </c>
      <c r="R33" s="3">
        <f>IF(G33="","",SUM(L33:Q33))</f>
        <v/>
      </c>
      <c r="S33" s="3">
        <f>IF(G33="","",IF(F33="BUY",-(K33+R33),K33-R33))</f>
        <v/>
      </c>
    </row>
    <row r="34">
      <c r="A34">
        <f>IF(G34="","",ROW()-1)</f>
        <v/>
      </c>
      <c r="B34" s="6" t="n"/>
      <c r="G34" s="3" t="n"/>
      <c r="H34" s="3" t="n"/>
      <c r="K34" s="3">
        <f>IF(G34="","",G34*H34)</f>
        <v/>
      </c>
      <c r="L34" s="3">
        <f>IF(G34="","",Settings!$C$5)</f>
        <v/>
      </c>
      <c r="M34" s="3">
        <f>IF(G34="","",IF(F34="SELL",K34*IF(E34="Equity Intraday",Settings!$C$8,Settings!$C$7),0))</f>
        <v/>
      </c>
      <c r="N34" s="3">
        <f>IF(G34="","",K34*(Settings!$C$9+Settings!$C$10))</f>
        <v/>
      </c>
      <c r="O34" s="3">
        <f>IF(G34="","",IF(F34="BUY",K34*Settings!$C$11,0))</f>
        <v/>
      </c>
      <c r="P34" s="3">
        <f>IF(G34="","",L34*Settings!$C$6)</f>
        <v/>
      </c>
      <c r="Q34" s="3">
        <f>IF(G34="","",IF(AND(F34="SELL",E34="Equity Delivery"),Settings!$C$13,0))</f>
        <v/>
      </c>
      <c r="R34" s="3">
        <f>IF(G34="","",SUM(L34:Q34))</f>
        <v/>
      </c>
      <c r="S34" s="3">
        <f>IF(G34="","",IF(F34="BUY",-(K34+R34),K34-R34))</f>
        <v/>
      </c>
    </row>
    <row r="35">
      <c r="A35">
        <f>IF(G35="","",ROW()-1)</f>
        <v/>
      </c>
      <c r="B35" s="6" t="n"/>
      <c r="G35" s="3" t="n"/>
      <c r="H35" s="3" t="n"/>
      <c r="K35" s="3">
        <f>IF(G35="","",G35*H35)</f>
        <v/>
      </c>
      <c r="L35" s="3">
        <f>IF(G35="","",Settings!$C$5)</f>
        <v/>
      </c>
      <c r="M35" s="3">
        <f>IF(G35="","",IF(F35="SELL",K35*IF(E35="Equity Intraday",Settings!$C$8,Settings!$C$7),0))</f>
        <v/>
      </c>
      <c r="N35" s="3">
        <f>IF(G35="","",K35*(Settings!$C$9+Settings!$C$10))</f>
        <v/>
      </c>
      <c r="O35" s="3">
        <f>IF(G35="","",IF(F35="BUY",K35*Settings!$C$11,0))</f>
        <v/>
      </c>
      <c r="P35" s="3">
        <f>IF(G35="","",L35*Settings!$C$6)</f>
        <v/>
      </c>
      <c r="Q35" s="3">
        <f>IF(G35="","",IF(AND(F35="SELL",E35="Equity Delivery"),Settings!$C$13,0))</f>
        <v/>
      </c>
      <c r="R35" s="3">
        <f>IF(G35="","",SUM(L35:Q35))</f>
        <v/>
      </c>
      <c r="S35" s="3">
        <f>IF(G35="","",IF(F35="BUY",-(K35+R35),K35-R35))</f>
        <v/>
      </c>
    </row>
    <row r="36">
      <c r="A36">
        <f>IF(G36="","",ROW()-1)</f>
        <v/>
      </c>
      <c r="B36" s="6" t="n"/>
      <c r="G36" s="3" t="n"/>
      <c r="H36" s="3" t="n"/>
      <c r="K36" s="3">
        <f>IF(G36="","",G36*H36)</f>
        <v/>
      </c>
      <c r="L36" s="3">
        <f>IF(G36="","",Settings!$C$5)</f>
        <v/>
      </c>
      <c r="M36" s="3">
        <f>IF(G36="","",IF(F36="SELL",K36*IF(E36="Equity Intraday",Settings!$C$8,Settings!$C$7),0))</f>
        <v/>
      </c>
      <c r="N36" s="3">
        <f>IF(G36="","",K36*(Settings!$C$9+Settings!$C$10))</f>
        <v/>
      </c>
      <c r="O36" s="3">
        <f>IF(G36="","",IF(F36="BUY",K36*Settings!$C$11,0))</f>
        <v/>
      </c>
      <c r="P36" s="3">
        <f>IF(G36="","",L36*Settings!$C$6)</f>
        <v/>
      </c>
      <c r="Q36" s="3">
        <f>IF(G36="","",IF(AND(F36="SELL",E36="Equity Delivery"),Settings!$C$13,0))</f>
        <v/>
      </c>
      <c r="R36" s="3">
        <f>IF(G36="","",SUM(L36:Q36))</f>
        <v/>
      </c>
      <c r="S36" s="3">
        <f>IF(G36="","",IF(F36="BUY",-(K36+R36),K36-R36))</f>
        <v/>
      </c>
    </row>
    <row r="37">
      <c r="A37">
        <f>IF(G37="","",ROW()-1)</f>
        <v/>
      </c>
      <c r="B37" s="6" t="n"/>
      <c r="G37" s="3" t="n"/>
      <c r="H37" s="3" t="n"/>
      <c r="K37" s="3">
        <f>IF(G37="","",G37*H37)</f>
        <v/>
      </c>
      <c r="L37" s="3">
        <f>IF(G37="","",Settings!$C$5)</f>
        <v/>
      </c>
      <c r="M37" s="3">
        <f>IF(G37="","",IF(F37="SELL",K37*IF(E37="Equity Intraday",Settings!$C$8,Settings!$C$7),0))</f>
        <v/>
      </c>
      <c r="N37" s="3">
        <f>IF(G37="","",K37*(Settings!$C$9+Settings!$C$10))</f>
        <v/>
      </c>
      <c r="O37" s="3">
        <f>IF(G37="","",IF(F37="BUY",K37*Settings!$C$11,0))</f>
        <v/>
      </c>
      <c r="P37" s="3">
        <f>IF(G37="","",L37*Settings!$C$6)</f>
        <v/>
      </c>
      <c r="Q37" s="3">
        <f>IF(G37="","",IF(AND(F37="SELL",E37="Equity Delivery"),Settings!$C$13,0))</f>
        <v/>
      </c>
      <c r="R37" s="3">
        <f>IF(G37="","",SUM(L37:Q37))</f>
        <v/>
      </c>
      <c r="S37" s="3">
        <f>IF(G37="","",IF(F37="BUY",-(K37+R37),K37-R37))</f>
        <v/>
      </c>
    </row>
    <row r="38">
      <c r="A38">
        <f>IF(G38="","",ROW()-1)</f>
        <v/>
      </c>
      <c r="B38" s="6" t="n"/>
      <c r="G38" s="3" t="n"/>
      <c r="H38" s="3" t="n"/>
      <c r="K38" s="3">
        <f>IF(G38="","",G38*H38)</f>
        <v/>
      </c>
      <c r="L38" s="3">
        <f>IF(G38="","",Settings!$C$5)</f>
        <v/>
      </c>
      <c r="M38" s="3">
        <f>IF(G38="","",IF(F38="SELL",K38*IF(E38="Equity Intraday",Settings!$C$8,Settings!$C$7),0))</f>
        <v/>
      </c>
      <c r="N38" s="3">
        <f>IF(G38="","",K38*(Settings!$C$9+Settings!$C$10))</f>
        <v/>
      </c>
      <c r="O38" s="3">
        <f>IF(G38="","",IF(F38="BUY",K38*Settings!$C$11,0))</f>
        <v/>
      </c>
      <c r="P38" s="3">
        <f>IF(G38="","",L38*Settings!$C$6)</f>
        <v/>
      </c>
      <c r="Q38" s="3">
        <f>IF(G38="","",IF(AND(F38="SELL",E38="Equity Delivery"),Settings!$C$13,0))</f>
        <v/>
      </c>
      <c r="R38" s="3">
        <f>IF(G38="","",SUM(L38:Q38))</f>
        <v/>
      </c>
      <c r="S38" s="3">
        <f>IF(G38="","",IF(F38="BUY",-(K38+R38),K38-R38))</f>
        <v/>
      </c>
    </row>
    <row r="39">
      <c r="A39">
        <f>IF(G39="","",ROW()-1)</f>
        <v/>
      </c>
      <c r="B39" s="6" t="n"/>
      <c r="G39" s="3" t="n"/>
      <c r="H39" s="3" t="n"/>
      <c r="K39" s="3">
        <f>IF(G39="","",G39*H39)</f>
        <v/>
      </c>
      <c r="L39" s="3">
        <f>IF(G39="","",Settings!$C$5)</f>
        <v/>
      </c>
      <c r="M39" s="3">
        <f>IF(G39="","",IF(F39="SELL",K39*IF(E39="Equity Intraday",Settings!$C$8,Settings!$C$7),0))</f>
        <v/>
      </c>
      <c r="N39" s="3">
        <f>IF(G39="","",K39*(Settings!$C$9+Settings!$C$10))</f>
        <v/>
      </c>
      <c r="O39" s="3">
        <f>IF(G39="","",IF(F39="BUY",K39*Settings!$C$11,0))</f>
        <v/>
      </c>
      <c r="P39" s="3">
        <f>IF(G39="","",L39*Settings!$C$6)</f>
        <v/>
      </c>
      <c r="Q39" s="3">
        <f>IF(G39="","",IF(AND(F39="SELL",E39="Equity Delivery"),Settings!$C$13,0))</f>
        <v/>
      </c>
      <c r="R39" s="3">
        <f>IF(G39="","",SUM(L39:Q39))</f>
        <v/>
      </c>
      <c r="S39" s="3">
        <f>IF(G39="","",IF(F39="BUY",-(K39+R39),K39-R39))</f>
        <v/>
      </c>
    </row>
    <row r="40">
      <c r="A40">
        <f>IF(G40="","",ROW()-1)</f>
        <v/>
      </c>
      <c r="B40" s="6" t="n"/>
      <c r="G40" s="3" t="n"/>
      <c r="H40" s="3" t="n"/>
      <c r="K40" s="3">
        <f>IF(G40="","",G40*H40)</f>
        <v/>
      </c>
      <c r="L40" s="3">
        <f>IF(G40="","",Settings!$C$5)</f>
        <v/>
      </c>
      <c r="M40" s="3">
        <f>IF(G40="","",IF(F40="SELL",K40*IF(E40="Equity Intraday",Settings!$C$8,Settings!$C$7),0))</f>
        <v/>
      </c>
      <c r="N40" s="3">
        <f>IF(G40="","",K40*(Settings!$C$9+Settings!$C$10))</f>
        <v/>
      </c>
      <c r="O40" s="3">
        <f>IF(G40="","",IF(F40="BUY",K40*Settings!$C$11,0))</f>
        <v/>
      </c>
      <c r="P40" s="3">
        <f>IF(G40="","",L40*Settings!$C$6)</f>
        <v/>
      </c>
      <c r="Q40" s="3">
        <f>IF(G40="","",IF(AND(F40="SELL",E40="Equity Delivery"),Settings!$C$13,0))</f>
        <v/>
      </c>
      <c r="R40" s="3">
        <f>IF(G40="","",SUM(L40:Q40))</f>
        <v/>
      </c>
      <c r="S40" s="3">
        <f>IF(G40="","",IF(F40="BUY",-(K40+R40),K40-R40))</f>
        <v/>
      </c>
    </row>
    <row r="41">
      <c r="A41">
        <f>IF(G41="","",ROW()-1)</f>
        <v/>
      </c>
      <c r="B41" s="6" t="n"/>
      <c r="G41" s="3" t="n"/>
      <c r="H41" s="3" t="n"/>
      <c r="K41" s="3">
        <f>IF(G41="","",G41*H41)</f>
        <v/>
      </c>
      <c r="L41" s="3">
        <f>IF(G41="","",Settings!$C$5)</f>
        <v/>
      </c>
      <c r="M41" s="3">
        <f>IF(G41="","",IF(F41="SELL",K41*IF(E41="Equity Intraday",Settings!$C$8,Settings!$C$7),0))</f>
        <v/>
      </c>
      <c r="N41" s="3">
        <f>IF(G41="","",K41*(Settings!$C$9+Settings!$C$10))</f>
        <v/>
      </c>
      <c r="O41" s="3">
        <f>IF(G41="","",IF(F41="BUY",K41*Settings!$C$11,0))</f>
        <v/>
      </c>
      <c r="P41" s="3">
        <f>IF(G41="","",L41*Settings!$C$6)</f>
        <v/>
      </c>
      <c r="Q41" s="3">
        <f>IF(G41="","",IF(AND(F41="SELL",E41="Equity Delivery"),Settings!$C$13,0))</f>
        <v/>
      </c>
      <c r="R41" s="3">
        <f>IF(G41="","",SUM(L41:Q41))</f>
        <v/>
      </c>
      <c r="S41" s="3">
        <f>IF(G41="","",IF(F41="BUY",-(K41+R41),K41-R41))</f>
        <v/>
      </c>
    </row>
    <row r="42">
      <c r="A42">
        <f>IF(G42="","",ROW()-1)</f>
        <v/>
      </c>
      <c r="B42" s="6" t="n"/>
      <c r="G42" s="3" t="n"/>
      <c r="H42" s="3" t="n"/>
      <c r="K42" s="3">
        <f>IF(G42="","",G42*H42)</f>
        <v/>
      </c>
      <c r="L42" s="3">
        <f>IF(G42="","",Settings!$C$5)</f>
        <v/>
      </c>
      <c r="M42" s="3">
        <f>IF(G42="","",IF(F42="SELL",K42*IF(E42="Equity Intraday",Settings!$C$8,Settings!$C$7),0))</f>
        <v/>
      </c>
      <c r="N42" s="3">
        <f>IF(G42="","",K42*(Settings!$C$9+Settings!$C$10))</f>
        <v/>
      </c>
      <c r="O42" s="3">
        <f>IF(G42="","",IF(F42="BUY",K42*Settings!$C$11,0))</f>
        <v/>
      </c>
      <c r="P42" s="3">
        <f>IF(G42="","",L42*Settings!$C$6)</f>
        <v/>
      </c>
      <c r="Q42" s="3">
        <f>IF(G42="","",IF(AND(F42="SELL",E42="Equity Delivery"),Settings!$C$13,0))</f>
        <v/>
      </c>
      <c r="R42" s="3">
        <f>IF(G42="","",SUM(L42:Q42))</f>
        <v/>
      </c>
      <c r="S42" s="3">
        <f>IF(G42="","",IF(F42="BUY",-(K42+R42),K42-R42))</f>
        <v/>
      </c>
    </row>
    <row r="43">
      <c r="A43">
        <f>IF(G43="","",ROW()-1)</f>
        <v/>
      </c>
      <c r="B43" s="6" t="n"/>
      <c r="G43" s="3" t="n"/>
      <c r="H43" s="3" t="n"/>
      <c r="K43" s="3">
        <f>IF(G43="","",G43*H43)</f>
        <v/>
      </c>
      <c r="L43" s="3">
        <f>IF(G43="","",Settings!$C$5)</f>
        <v/>
      </c>
      <c r="M43" s="3">
        <f>IF(G43="","",IF(F43="SELL",K43*IF(E43="Equity Intraday",Settings!$C$8,Settings!$C$7),0))</f>
        <v/>
      </c>
      <c r="N43" s="3">
        <f>IF(G43="","",K43*(Settings!$C$9+Settings!$C$10))</f>
        <v/>
      </c>
      <c r="O43" s="3">
        <f>IF(G43="","",IF(F43="BUY",K43*Settings!$C$11,0))</f>
        <v/>
      </c>
      <c r="P43" s="3">
        <f>IF(G43="","",L43*Settings!$C$6)</f>
        <v/>
      </c>
      <c r="Q43" s="3">
        <f>IF(G43="","",IF(AND(F43="SELL",E43="Equity Delivery"),Settings!$C$13,0))</f>
        <v/>
      </c>
      <c r="R43" s="3">
        <f>IF(G43="","",SUM(L43:Q43))</f>
        <v/>
      </c>
      <c r="S43" s="3">
        <f>IF(G43="","",IF(F43="BUY",-(K43+R43),K43-R43))</f>
        <v/>
      </c>
    </row>
    <row r="44">
      <c r="A44">
        <f>IF(G44="","",ROW()-1)</f>
        <v/>
      </c>
      <c r="B44" s="6" t="n"/>
      <c r="G44" s="3" t="n"/>
      <c r="H44" s="3" t="n"/>
      <c r="K44" s="3">
        <f>IF(G44="","",G44*H44)</f>
        <v/>
      </c>
      <c r="L44" s="3">
        <f>IF(G44="","",Settings!$C$5)</f>
        <v/>
      </c>
      <c r="M44" s="3">
        <f>IF(G44="","",IF(F44="SELL",K44*IF(E44="Equity Intraday",Settings!$C$8,Settings!$C$7),0))</f>
        <v/>
      </c>
      <c r="N44" s="3">
        <f>IF(G44="","",K44*(Settings!$C$9+Settings!$C$10))</f>
        <v/>
      </c>
      <c r="O44" s="3">
        <f>IF(G44="","",IF(F44="BUY",K44*Settings!$C$11,0))</f>
        <v/>
      </c>
      <c r="P44" s="3">
        <f>IF(G44="","",L44*Settings!$C$6)</f>
        <v/>
      </c>
      <c r="Q44" s="3">
        <f>IF(G44="","",IF(AND(F44="SELL",E44="Equity Delivery"),Settings!$C$13,0))</f>
        <v/>
      </c>
      <c r="R44" s="3">
        <f>IF(G44="","",SUM(L44:Q44))</f>
        <v/>
      </c>
      <c r="S44" s="3">
        <f>IF(G44="","",IF(F44="BUY",-(K44+R44),K44-R44))</f>
        <v/>
      </c>
    </row>
    <row r="45">
      <c r="A45">
        <f>IF(G45="","",ROW()-1)</f>
        <v/>
      </c>
      <c r="B45" s="6" t="n"/>
      <c r="G45" s="3" t="n"/>
      <c r="H45" s="3" t="n"/>
      <c r="K45" s="3">
        <f>IF(G45="","",G45*H45)</f>
        <v/>
      </c>
      <c r="L45" s="3">
        <f>IF(G45="","",Settings!$C$5)</f>
        <v/>
      </c>
      <c r="M45" s="3">
        <f>IF(G45="","",IF(F45="SELL",K45*IF(E45="Equity Intraday",Settings!$C$8,Settings!$C$7),0))</f>
        <v/>
      </c>
      <c r="N45" s="3">
        <f>IF(G45="","",K45*(Settings!$C$9+Settings!$C$10))</f>
        <v/>
      </c>
      <c r="O45" s="3">
        <f>IF(G45="","",IF(F45="BUY",K45*Settings!$C$11,0))</f>
        <v/>
      </c>
      <c r="P45" s="3">
        <f>IF(G45="","",L45*Settings!$C$6)</f>
        <v/>
      </c>
      <c r="Q45" s="3">
        <f>IF(G45="","",IF(AND(F45="SELL",E45="Equity Delivery"),Settings!$C$13,0))</f>
        <v/>
      </c>
      <c r="R45" s="3">
        <f>IF(G45="","",SUM(L45:Q45))</f>
        <v/>
      </c>
      <c r="S45" s="3">
        <f>IF(G45="","",IF(F45="BUY",-(K45+R45),K45-R45))</f>
        <v/>
      </c>
    </row>
    <row r="46">
      <c r="A46">
        <f>IF(G46="","",ROW()-1)</f>
        <v/>
      </c>
      <c r="B46" s="6" t="n"/>
      <c r="G46" s="3" t="n"/>
      <c r="H46" s="3" t="n"/>
      <c r="K46" s="3">
        <f>IF(G46="","",G46*H46)</f>
        <v/>
      </c>
      <c r="L46" s="3">
        <f>IF(G46="","",Settings!$C$5)</f>
        <v/>
      </c>
      <c r="M46" s="3">
        <f>IF(G46="","",IF(F46="SELL",K46*IF(E46="Equity Intraday",Settings!$C$8,Settings!$C$7),0))</f>
        <v/>
      </c>
      <c r="N46" s="3">
        <f>IF(G46="","",K46*(Settings!$C$9+Settings!$C$10))</f>
        <v/>
      </c>
      <c r="O46" s="3">
        <f>IF(G46="","",IF(F46="BUY",K46*Settings!$C$11,0))</f>
        <v/>
      </c>
      <c r="P46" s="3">
        <f>IF(G46="","",L46*Settings!$C$6)</f>
        <v/>
      </c>
      <c r="Q46" s="3">
        <f>IF(G46="","",IF(AND(F46="SELL",E46="Equity Delivery"),Settings!$C$13,0))</f>
        <v/>
      </c>
      <c r="R46" s="3">
        <f>IF(G46="","",SUM(L46:Q46))</f>
        <v/>
      </c>
      <c r="S46" s="3">
        <f>IF(G46="","",IF(F46="BUY",-(K46+R46),K46-R46))</f>
        <v/>
      </c>
    </row>
    <row r="47">
      <c r="A47">
        <f>IF(G47="","",ROW()-1)</f>
        <v/>
      </c>
      <c r="B47" s="6" t="n"/>
      <c r="G47" s="3" t="n"/>
      <c r="H47" s="3" t="n"/>
      <c r="K47" s="3">
        <f>IF(G47="","",G47*H47)</f>
        <v/>
      </c>
      <c r="L47" s="3">
        <f>IF(G47="","",Settings!$C$5)</f>
        <v/>
      </c>
      <c r="M47" s="3">
        <f>IF(G47="","",IF(F47="SELL",K47*IF(E47="Equity Intraday",Settings!$C$8,Settings!$C$7),0))</f>
        <v/>
      </c>
      <c r="N47" s="3">
        <f>IF(G47="","",K47*(Settings!$C$9+Settings!$C$10))</f>
        <v/>
      </c>
      <c r="O47" s="3">
        <f>IF(G47="","",IF(F47="BUY",K47*Settings!$C$11,0))</f>
        <v/>
      </c>
      <c r="P47" s="3">
        <f>IF(G47="","",L47*Settings!$C$6)</f>
        <v/>
      </c>
      <c r="Q47" s="3">
        <f>IF(G47="","",IF(AND(F47="SELL",E47="Equity Delivery"),Settings!$C$13,0))</f>
        <v/>
      </c>
      <c r="R47" s="3">
        <f>IF(G47="","",SUM(L47:Q47))</f>
        <v/>
      </c>
      <c r="S47" s="3">
        <f>IF(G47="","",IF(F47="BUY",-(K47+R47),K47-R47))</f>
        <v/>
      </c>
    </row>
    <row r="48">
      <c r="A48">
        <f>IF(G48="","",ROW()-1)</f>
        <v/>
      </c>
      <c r="B48" s="6" t="n"/>
      <c r="G48" s="3" t="n"/>
      <c r="H48" s="3" t="n"/>
      <c r="K48" s="3">
        <f>IF(G48="","",G48*H48)</f>
        <v/>
      </c>
      <c r="L48" s="3">
        <f>IF(G48="","",Settings!$C$5)</f>
        <v/>
      </c>
      <c r="M48" s="3">
        <f>IF(G48="","",IF(F48="SELL",K48*IF(E48="Equity Intraday",Settings!$C$8,Settings!$C$7),0))</f>
        <v/>
      </c>
      <c r="N48" s="3">
        <f>IF(G48="","",K48*(Settings!$C$9+Settings!$C$10))</f>
        <v/>
      </c>
      <c r="O48" s="3">
        <f>IF(G48="","",IF(F48="BUY",K48*Settings!$C$11,0))</f>
        <v/>
      </c>
      <c r="P48" s="3">
        <f>IF(G48="","",L48*Settings!$C$6)</f>
        <v/>
      </c>
      <c r="Q48" s="3">
        <f>IF(G48="","",IF(AND(F48="SELL",E48="Equity Delivery"),Settings!$C$13,0))</f>
        <v/>
      </c>
      <c r="R48" s="3">
        <f>IF(G48="","",SUM(L48:Q48))</f>
        <v/>
      </c>
      <c r="S48" s="3">
        <f>IF(G48="","",IF(F48="BUY",-(K48+R48),K48-R48))</f>
        <v/>
      </c>
    </row>
    <row r="49">
      <c r="A49">
        <f>IF(G49="","",ROW()-1)</f>
        <v/>
      </c>
      <c r="B49" s="6" t="n"/>
      <c r="G49" s="3" t="n"/>
      <c r="H49" s="3" t="n"/>
      <c r="K49" s="3">
        <f>IF(G49="","",G49*H49)</f>
        <v/>
      </c>
      <c r="L49" s="3">
        <f>IF(G49="","",Settings!$C$5)</f>
        <v/>
      </c>
      <c r="M49" s="3">
        <f>IF(G49="","",IF(F49="SELL",K49*IF(E49="Equity Intraday",Settings!$C$8,Settings!$C$7),0))</f>
        <v/>
      </c>
      <c r="N49" s="3">
        <f>IF(G49="","",K49*(Settings!$C$9+Settings!$C$10))</f>
        <v/>
      </c>
      <c r="O49" s="3">
        <f>IF(G49="","",IF(F49="BUY",K49*Settings!$C$11,0))</f>
        <v/>
      </c>
      <c r="P49" s="3">
        <f>IF(G49="","",L49*Settings!$C$6)</f>
        <v/>
      </c>
      <c r="Q49" s="3">
        <f>IF(G49="","",IF(AND(F49="SELL",E49="Equity Delivery"),Settings!$C$13,0))</f>
        <v/>
      </c>
      <c r="R49" s="3">
        <f>IF(G49="","",SUM(L49:Q49))</f>
        <v/>
      </c>
      <c r="S49" s="3">
        <f>IF(G49="","",IF(F49="BUY",-(K49+R49),K49-R49))</f>
        <v/>
      </c>
    </row>
    <row r="50">
      <c r="A50">
        <f>IF(G50="","",ROW()-1)</f>
        <v/>
      </c>
      <c r="B50" s="6" t="n"/>
      <c r="G50" s="3" t="n"/>
      <c r="H50" s="3" t="n"/>
      <c r="K50" s="3">
        <f>IF(G50="","",G50*H50)</f>
        <v/>
      </c>
      <c r="L50" s="3">
        <f>IF(G50="","",Settings!$C$5)</f>
        <v/>
      </c>
      <c r="M50" s="3">
        <f>IF(G50="","",IF(F50="SELL",K50*IF(E50="Equity Intraday",Settings!$C$8,Settings!$C$7),0))</f>
        <v/>
      </c>
      <c r="N50" s="3">
        <f>IF(G50="","",K50*(Settings!$C$9+Settings!$C$10))</f>
        <v/>
      </c>
      <c r="O50" s="3">
        <f>IF(G50="","",IF(F50="BUY",K50*Settings!$C$11,0))</f>
        <v/>
      </c>
      <c r="P50" s="3">
        <f>IF(G50="","",L50*Settings!$C$6)</f>
        <v/>
      </c>
      <c r="Q50" s="3">
        <f>IF(G50="","",IF(AND(F50="SELL",E50="Equity Delivery"),Settings!$C$13,0))</f>
        <v/>
      </c>
      <c r="R50" s="3">
        <f>IF(G50="","",SUM(L50:Q50))</f>
        <v/>
      </c>
      <c r="S50" s="3">
        <f>IF(G50="","",IF(F50="BUY",-(K50+R50),K50-R50))</f>
        <v/>
      </c>
    </row>
    <row r="51">
      <c r="A51">
        <f>IF(G51="","",ROW()-1)</f>
        <v/>
      </c>
      <c r="B51" s="6" t="n"/>
      <c r="G51" s="3" t="n"/>
      <c r="H51" s="3" t="n"/>
      <c r="K51" s="3">
        <f>IF(G51="","",G51*H51)</f>
        <v/>
      </c>
      <c r="L51" s="3">
        <f>IF(G51="","",Settings!$C$5)</f>
        <v/>
      </c>
      <c r="M51" s="3">
        <f>IF(G51="","",IF(F51="SELL",K51*IF(E51="Equity Intraday",Settings!$C$8,Settings!$C$7),0))</f>
        <v/>
      </c>
      <c r="N51" s="3">
        <f>IF(G51="","",K51*(Settings!$C$9+Settings!$C$10))</f>
        <v/>
      </c>
      <c r="O51" s="3">
        <f>IF(G51="","",IF(F51="BUY",K51*Settings!$C$11,0))</f>
        <v/>
      </c>
      <c r="P51" s="3">
        <f>IF(G51="","",L51*Settings!$C$6)</f>
        <v/>
      </c>
      <c r="Q51" s="3">
        <f>IF(G51="","",IF(AND(F51="SELL",E51="Equity Delivery"),Settings!$C$13,0))</f>
        <v/>
      </c>
      <c r="R51" s="3">
        <f>IF(G51="","",SUM(L51:Q51))</f>
        <v/>
      </c>
      <c r="S51" s="3">
        <f>IF(G51="","",IF(F51="BUY",-(K51+R51),K51-R51))</f>
        <v/>
      </c>
    </row>
    <row r="52">
      <c r="A52">
        <f>IF(G52="","",ROW()-1)</f>
        <v/>
      </c>
      <c r="B52" s="6" t="n"/>
      <c r="G52" s="3" t="n"/>
      <c r="H52" s="3" t="n"/>
      <c r="K52" s="3">
        <f>IF(G52="","",G52*H52)</f>
        <v/>
      </c>
      <c r="L52" s="3">
        <f>IF(G52="","",Settings!$C$5)</f>
        <v/>
      </c>
      <c r="M52" s="3">
        <f>IF(G52="","",IF(F52="SELL",K52*IF(E52="Equity Intraday",Settings!$C$8,Settings!$C$7),0))</f>
        <v/>
      </c>
      <c r="N52" s="3">
        <f>IF(G52="","",K52*(Settings!$C$9+Settings!$C$10))</f>
        <v/>
      </c>
      <c r="O52" s="3">
        <f>IF(G52="","",IF(F52="BUY",K52*Settings!$C$11,0))</f>
        <v/>
      </c>
      <c r="P52" s="3">
        <f>IF(G52="","",L52*Settings!$C$6)</f>
        <v/>
      </c>
      <c r="Q52" s="3">
        <f>IF(G52="","",IF(AND(F52="SELL",E52="Equity Delivery"),Settings!$C$13,0))</f>
        <v/>
      </c>
      <c r="R52" s="3">
        <f>IF(G52="","",SUM(L52:Q52))</f>
        <v/>
      </c>
      <c r="S52" s="3">
        <f>IF(G52="","",IF(F52="BUY",-(K52+R52),K52-R52))</f>
        <v/>
      </c>
    </row>
    <row r="53">
      <c r="A53">
        <f>IF(G53="","",ROW()-1)</f>
        <v/>
      </c>
      <c r="B53" s="6" t="n"/>
      <c r="G53" s="3" t="n"/>
      <c r="H53" s="3" t="n"/>
      <c r="K53" s="3">
        <f>IF(G53="","",G53*H53)</f>
        <v/>
      </c>
      <c r="L53" s="3">
        <f>IF(G53="","",Settings!$C$5)</f>
        <v/>
      </c>
      <c r="M53" s="3">
        <f>IF(G53="","",IF(F53="SELL",K53*IF(E53="Equity Intraday",Settings!$C$8,Settings!$C$7),0))</f>
        <v/>
      </c>
      <c r="N53" s="3">
        <f>IF(G53="","",K53*(Settings!$C$9+Settings!$C$10))</f>
        <v/>
      </c>
      <c r="O53" s="3">
        <f>IF(G53="","",IF(F53="BUY",K53*Settings!$C$11,0))</f>
        <v/>
      </c>
      <c r="P53" s="3">
        <f>IF(G53="","",L53*Settings!$C$6)</f>
        <v/>
      </c>
      <c r="Q53" s="3">
        <f>IF(G53="","",IF(AND(F53="SELL",E53="Equity Delivery"),Settings!$C$13,0))</f>
        <v/>
      </c>
      <c r="R53" s="3">
        <f>IF(G53="","",SUM(L53:Q53))</f>
        <v/>
      </c>
      <c r="S53" s="3">
        <f>IF(G53="","",IF(F53="BUY",-(K53+R53),K53-R53))</f>
        <v/>
      </c>
    </row>
    <row r="54">
      <c r="A54">
        <f>IF(G54="","",ROW()-1)</f>
        <v/>
      </c>
      <c r="B54" s="6" t="n"/>
      <c r="G54" s="3" t="n"/>
      <c r="H54" s="3" t="n"/>
      <c r="K54" s="3">
        <f>IF(G54="","",G54*H54)</f>
        <v/>
      </c>
      <c r="L54" s="3">
        <f>IF(G54="","",Settings!$C$5)</f>
        <v/>
      </c>
      <c r="M54" s="3">
        <f>IF(G54="","",IF(F54="SELL",K54*IF(E54="Equity Intraday",Settings!$C$8,Settings!$C$7),0))</f>
        <v/>
      </c>
      <c r="N54" s="3">
        <f>IF(G54="","",K54*(Settings!$C$9+Settings!$C$10))</f>
        <v/>
      </c>
      <c r="O54" s="3">
        <f>IF(G54="","",IF(F54="BUY",K54*Settings!$C$11,0))</f>
        <v/>
      </c>
      <c r="P54" s="3">
        <f>IF(G54="","",L54*Settings!$C$6)</f>
        <v/>
      </c>
      <c r="Q54" s="3">
        <f>IF(G54="","",IF(AND(F54="SELL",E54="Equity Delivery"),Settings!$C$13,0))</f>
        <v/>
      </c>
      <c r="R54" s="3">
        <f>IF(G54="","",SUM(L54:Q54))</f>
        <v/>
      </c>
      <c r="S54" s="3">
        <f>IF(G54="","",IF(F54="BUY",-(K54+R54),K54-R54))</f>
        <v/>
      </c>
    </row>
    <row r="55">
      <c r="A55">
        <f>IF(G55="","",ROW()-1)</f>
        <v/>
      </c>
      <c r="B55" s="6" t="n"/>
      <c r="G55" s="3" t="n"/>
      <c r="H55" s="3" t="n"/>
      <c r="K55" s="3">
        <f>IF(G55="","",G55*H55)</f>
        <v/>
      </c>
      <c r="L55" s="3">
        <f>IF(G55="","",Settings!$C$5)</f>
        <v/>
      </c>
      <c r="M55" s="3">
        <f>IF(G55="","",IF(F55="SELL",K55*IF(E55="Equity Intraday",Settings!$C$8,Settings!$C$7),0))</f>
        <v/>
      </c>
      <c r="N55" s="3">
        <f>IF(G55="","",K55*(Settings!$C$9+Settings!$C$10))</f>
        <v/>
      </c>
      <c r="O55" s="3">
        <f>IF(G55="","",IF(F55="BUY",K55*Settings!$C$11,0))</f>
        <v/>
      </c>
      <c r="P55" s="3">
        <f>IF(G55="","",L55*Settings!$C$6)</f>
        <v/>
      </c>
      <c r="Q55" s="3">
        <f>IF(G55="","",IF(AND(F55="SELL",E55="Equity Delivery"),Settings!$C$13,0))</f>
        <v/>
      </c>
      <c r="R55" s="3">
        <f>IF(G55="","",SUM(L55:Q55))</f>
        <v/>
      </c>
      <c r="S55" s="3">
        <f>IF(G55="","",IF(F55="BUY",-(K55+R55),K55-R55))</f>
        <v/>
      </c>
    </row>
    <row r="56">
      <c r="A56">
        <f>IF(G56="","",ROW()-1)</f>
        <v/>
      </c>
      <c r="B56" s="6" t="n"/>
      <c r="G56" s="3" t="n"/>
      <c r="H56" s="3" t="n"/>
      <c r="K56" s="3">
        <f>IF(G56="","",G56*H56)</f>
        <v/>
      </c>
      <c r="L56" s="3">
        <f>IF(G56="","",Settings!$C$5)</f>
        <v/>
      </c>
      <c r="M56" s="3">
        <f>IF(G56="","",IF(F56="SELL",K56*IF(E56="Equity Intraday",Settings!$C$8,Settings!$C$7),0))</f>
        <v/>
      </c>
      <c r="N56" s="3">
        <f>IF(G56="","",K56*(Settings!$C$9+Settings!$C$10))</f>
        <v/>
      </c>
      <c r="O56" s="3">
        <f>IF(G56="","",IF(F56="BUY",K56*Settings!$C$11,0))</f>
        <v/>
      </c>
      <c r="P56" s="3">
        <f>IF(G56="","",L56*Settings!$C$6)</f>
        <v/>
      </c>
      <c r="Q56" s="3">
        <f>IF(G56="","",IF(AND(F56="SELL",E56="Equity Delivery"),Settings!$C$13,0))</f>
        <v/>
      </c>
      <c r="R56" s="3">
        <f>IF(G56="","",SUM(L56:Q56))</f>
        <v/>
      </c>
      <c r="S56" s="3">
        <f>IF(G56="","",IF(F56="BUY",-(K56+R56),K56-R56))</f>
        <v/>
      </c>
    </row>
    <row r="57">
      <c r="A57">
        <f>IF(G57="","",ROW()-1)</f>
        <v/>
      </c>
      <c r="B57" s="6" t="n"/>
      <c r="G57" s="3" t="n"/>
      <c r="H57" s="3" t="n"/>
      <c r="K57" s="3">
        <f>IF(G57="","",G57*H57)</f>
        <v/>
      </c>
      <c r="L57" s="3">
        <f>IF(G57="","",Settings!$C$5)</f>
        <v/>
      </c>
      <c r="M57" s="3">
        <f>IF(G57="","",IF(F57="SELL",K57*IF(E57="Equity Intraday",Settings!$C$8,Settings!$C$7),0))</f>
        <v/>
      </c>
      <c r="N57" s="3">
        <f>IF(G57="","",K57*(Settings!$C$9+Settings!$C$10))</f>
        <v/>
      </c>
      <c r="O57" s="3">
        <f>IF(G57="","",IF(F57="BUY",K57*Settings!$C$11,0))</f>
        <v/>
      </c>
      <c r="P57" s="3">
        <f>IF(G57="","",L57*Settings!$C$6)</f>
        <v/>
      </c>
      <c r="Q57" s="3">
        <f>IF(G57="","",IF(AND(F57="SELL",E57="Equity Delivery"),Settings!$C$13,0))</f>
        <v/>
      </c>
      <c r="R57" s="3">
        <f>IF(G57="","",SUM(L57:Q57))</f>
        <v/>
      </c>
      <c r="S57" s="3">
        <f>IF(G57="","",IF(F57="BUY",-(K57+R57),K57-R57))</f>
        <v/>
      </c>
    </row>
    <row r="58">
      <c r="A58">
        <f>IF(G58="","",ROW()-1)</f>
        <v/>
      </c>
      <c r="B58" s="6" t="n"/>
      <c r="G58" s="3" t="n"/>
      <c r="H58" s="3" t="n"/>
      <c r="K58" s="3">
        <f>IF(G58="","",G58*H58)</f>
        <v/>
      </c>
      <c r="L58" s="3">
        <f>IF(G58="","",Settings!$C$5)</f>
        <v/>
      </c>
      <c r="M58" s="3">
        <f>IF(G58="","",IF(F58="SELL",K58*IF(E58="Equity Intraday",Settings!$C$8,Settings!$C$7),0))</f>
        <v/>
      </c>
      <c r="N58" s="3">
        <f>IF(G58="","",K58*(Settings!$C$9+Settings!$C$10))</f>
        <v/>
      </c>
      <c r="O58" s="3">
        <f>IF(G58="","",IF(F58="BUY",K58*Settings!$C$11,0))</f>
        <v/>
      </c>
      <c r="P58" s="3">
        <f>IF(G58="","",L58*Settings!$C$6)</f>
        <v/>
      </c>
      <c r="Q58" s="3">
        <f>IF(G58="","",IF(AND(F58="SELL",E58="Equity Delivery"),Settings!$C$13,0))</f>
        <v/>
      </c>
      <c r="R58" s="3">
        <f>IF(G58="","",SUM(L58:Q58))</f>
        <v/>
      </c>
      <c r="S58" s="3">
        <f>IF(G58="","",IF(F58="BUY",-(K58+R58),K58-R58))</f>
        <v/>
      </c>
    </row>
    <row r="59">
      <c r="A59">
        <f>IF(G59="","",ROW()-1)</f>
        <v/>
      </c>
      <c r="B59" s="6" t="n"/>
      <c r="G59" s="3" t="n"/>
      <c r="H59" s="3" t="n"/>
      <c r="K59" s="3">
        <f>IF(G59="","",G59*H59)</f>
        <v/>
      </c>
      <c r="L59" s="3">
        <f>IF(G59="","",Settings!$C$5)</f>
        <v/>
      </c>
      <c r="M59" s="3">
        <f>IF(G59="","",IF(F59="SELL",K59*IF(E59="Equity Intraday",Settings!$C$8,Settings!$C$7),0))</f>
        <v/>
      </c>
      <c r="N59" s="3">
        <f>IF(G59="","",K59*(Settings!$C$9+Settings!$C$10))</f>
        <v/>
      </c>
      <c r="O59" s="3">
        <f>IF(G59="","",IF(F59="BUY",K59*Settings!$C$11,0))</f>
        <v/>
      </c>
      <c r="P59" s="3">
        <f>IF(G59="","",L59*Settings!$C$6)</f>
        <v/>
      </c>
      <c r="Q59" s="3">
        <f>IF(G59="","",IF(AND(F59="SELL",E59="Equity Delivery"),Settings!$C$13,0))</f>
        <v/>
      </c>
      <c r="R59" s="3">
        <f>IF(G59="","",SUM(L59:Q59))</f>
        <v/>
      </c>
      <c r="S59" s="3">
        <f>IF(G59="","",IF(F59="BUY",-(K59+R59),K59-R59))</f>
        <v/>
      </c>
    </row>
    <row r="60">
      <c r="A60">
        <f>IF(G60="","",ROW()-1)</f>
        <v/>
      </c>
      <c r="B60" s="6" t="n"/>
      <c r="G60" s="3" t="n"/>
      <c r="H60" s="3" t="n"/>
      <c r="K60" s="3">
        <f>IF(G60="","",G60*H60)</f>
        <v/>
      </c>
      <c r="L60" s="3">
        <f>IF(G60="","",Settings!$C$5)</f>
        <v/>
      </c>
      <c r="M60" s="3">
        <f>IF(G60="","",IF(F60="SELL",K60*IF(E60="Equity Intraday",Settings!$C$8,Settings!$C$7),0))</f>
        <v/>
      </c>
      <c r="N60" s="3">
        <f>IF(G60="","",K60*(Settings!$C$9+Settings!$C$10))</f>
        <v/>
      </c>
      <c r="O60" s="3">
        <f>IF(G60="","",IF(F60="BUY",K60*Settings!$C$11,0))</f>
        <v/>
      </c>
      <c r="P60" s="3">
        <f>IF(G60="","",L60*Settings!$C$6)</f>
        <v/>
      </c>
      <c r="Q60" s="3">
        <f>IF(G60="","",IF(AND(F60="SELL",E60="Equity Delivery"),Settings!$C$13,0))</f>
        <v/>
      </c>
      <c r="R60" s="3">
        <f>IF(G60="","",SUM(L60:Q60))</f>
        <v/>
      </c>
      <c r="S60" s="3">
        <f>IF(G60="","",IF(F60="BUY",-(K60+R60),K60-R60))</f>
        <v/>
      </c>
    </row>
    <row r="61">
      <c r="A61">
        <f>IF(G61="","",ROW()-1)</f>
        <v/>
      </c>
      <c r="B61" s="6" t="n"/>
      <c r="G61" s="3" t="n"/>
      <c r="H61" s="3" t="n"/>
      <c r="K61" s="3">
        <f>IF(G61="","",G61*H61)</f>
        <v/>
      </c>
      <c r="L61" s="3">
        <f>IF(G61="","",Settings!$C$5)</f>
        <v/>
      </c>
      <c r="M61" s="3">
        <f>IF(G61="","",IF(F61="SELL",K61*IF(E61="Equity Intraday",Settings!$C$8,Settings!$C$7),0))</f>
        <v/>
      </c>
      <c r="N61" s="3">
        <f>IF(G61="","",K61*(Settings!$C$9+Settings!$C$10))</f>
        <v/>
      </c>
      <c r="O61" s="3">
        <f>IF(G61="","",IF(F61="BUY",K61*Settings!$C$11,0))</f>
        <v/>
      </c>
      <c r="P61" s="3">
        <f>IF(G61="","",L61*Settings!$C$6)</f>
        <v/>
      </c>
      <c r="Q61" s="3">
        <f>IF(G61="","",IF(AND(F61="SELL",E61="Equity Delivery"),Settings!$C$13,0))</f>
        <v/>
      </c>
      <c r="R61" s="3">
        <f>IF(G61="","",SUM(L61:Q61))</f>
        <v/>
      </c>
      <c r="S61" s="3">
        <f>IF(G61="","",IF(F61="BUY",-(K61+R61),K61-R61))</f>
        <v/>
      </c>
    </row>
    <row r="62">
      <c r="A62">
        <f>IF(G62="","",ROW()-1)</f>
        <v/>
      </c>
      <c r="B62" s="6" t="n"/>
      <c r="G62" s="3" t="n"/>
      <c r="H62" s="3" t="n"/>
      <c r="K62" s="3">
        <f>IF(G62="","",G62*H62)</f>
        <v/>
      </c>
      <c r="L62" s="3">
        <f>IF(G62="","",Settings!$C$5)</f>
        <v/>
      </c>
      <c r="M62" s="3">
        <f>IF(G62="","",IF(F62="SELL",K62*IF(E62="Equity Intraday",Settings!$C$8,Settings!$C$7),0))</f>
        <v/>
      </c>
      <c r="N62" s="3">
        <f>IF(G62="","",K62*(Settings!$C$9+Settings!$C$10))</f>
        <v/>
      </c>
      <c r="O62" s="3">
        <f>IF(G62="","",IF(F62="BUY",K62*Settings!$C$11,0))</f>
        <v/>
      </c>
      <c r="P62" s="3">
        <f>IF(G62="","",L62*Settings!$C$6)</f>
        <v/>
      </c>
      <c r="Q62" s="3">
        <f>IF(G62="","",IF(AND(F62="SELL",E62="Equity Delivery"),Settings!$C$13,0))</f>
        <v/>
      </c>
      <c r="R62" s="3">
        <f>IF(G62="","",SUM(L62:Q62))</f>
        <v/>
      </c>
      <c r="S62" s="3">
        <f>IF(G62="","",IF(F62="BUY",-(K62+R62),K62-R62))</f>
        <v/>
      </c>
    </row>
    <row r="63">
      <c r="A63">
        <f>IF(G63="","",ROW()-1)</f>
        <v/>
      </c>
      <c r="B63" s="6" t="n"/>
      <c r="G63" s="3" t="n"/>
      <c r="H63" s="3" t="n"/>
      <c r="K63" s="3">
        <f>IF(G63="","",G63*H63)</f>
        <v/>
      </c>
      <c r="L63" s="3">
        <f>IF(G63="","",Settings!$C$5)</f>
        <v/>
      </c>
      <c r="M63" s="3">
        <f>IF(G63="","",IF(F63="SELL",K63*IF(E63="Equity Intraday",Settings!$C$8,Settings!$C$7),0))</f>
        <v/>
      </c>
      <c r="N63" s="3">
        <f>IF(G63="","",K63*(Settings!$C$9+Settings!$C$10))</f>
        <v/>
      </c>
      <c r="O63" s="3">
        <f>IF(G63="","",IF(F63="BUY",K63*Settings!$C$11,0))</f>
        <v/>
      </c>
      <c r="P63" s="3">
        <f>IF(G63="","",L63*Settings!$C$6)</f>
        <v/>
      </c>
      <c r="Q63" s="3">
        <f>IF(G63="","",IF(AND(F63="SELL",E63="Equity Delivery"),Settings!$C$13,0))</f>
        <v/>
      </c>
      <c r="R63" s="3">
        <f>IF(G63="","",SUM(L63:Q63))</f>
        <v/>
      </c>
      <c r="S63" s="3">
        <f>IF(G63="","",IF(F63="BUY",-(K63+R63),K63-R63))</f>
        <v/>
      </c>
    </row>
    <row r="64">
      <c r="A64">
        <f>IF(G64="","",ROW()-1)</f>
        <v/>
      </c>
      <c r="B64" s="6" t="n"/>
      <c r="G64" s="3" t="n"/>
      <c r="H64" s="3" t="n"/>
      <c r="K64" s="3">
        <f>IF(G64="","",G64*H64)</f>
        <v/>
      </c>
      <c r="L64" s="3">
        <f>IF(G64="","",Settings!$C$5)</f>
        <v/>
      </c>
      <c r="M64" s="3">
        <f>IF(G64="","",IF(F64="SELL",K64*IF(E64="Equity Intraday",Settings!$C$8,Settings!$C$7),0))</f>
        <v/>
      </c>
      <c r="N64" s="3">
        <f>IF(G64="","",K64*(Settings!$C$9+Settings!$C$10))</f>
        <v/>
      </c>
      <c r="O64" s="3">
        <f>IF(G64="","",IF(F64="BUY",K64*Settings!$C$11,0))</f>
        <v/>
      </c>
      <c r="P64" s="3">
        <f>IF(G64="","",L64*Settings!$C$6)</f>
        <v/>
      </c>
      <c r="Q64" s="3">
        <f>IF(G64="","",IF(AND(F64="SELL",E64="Equity Delivery"),Settings!$C$13,0))</f>
        <v/>
      </c>
      <c r="R64" s="3">
        <f>IF(G64="","",SUM(L64:Q64))</f>
        <v/>
      </c>
      <c r="S64" s="3">
        <f>IF(G64="","",IF(F64="BUY",-(K64+R64),K64-R64))</f>
        <v/>
      </c>
    </row>
    <row r="65">
      <c r="A65">
        <f>IF(G65="","",ROW()-1)</f>
        <v/>
      </c>
      <c r="B65" s="6" t="n"/>
      <c r="G65" s="3" t="n"/>
      <c r="H65" s="3" t="n"/>
      <c r="K65" s="3">
        <f>IF(G65="","",G65*H65)</f>
        <v/>
      </c>
      <c r="L65" s="3">
        <f>IF(G65="","",Settings!$C$5)</f>
        <v/>
      </c>
      <c r="M65" s="3">
        <f>IF(G65="","",IF(F65="SELL",K65*IF(E65="Equity Intraday",Settings!$C$8,Settings!$C$7),0))</f>
        <v/>
      </c>
      <c r="N65" s="3">
        <f>IF(G65="","",K65*(Settings!$C$9+Settings!$C$10))</f>
        <v/>
      </c>
      <c r="O65" s="3">
        <f>IF(G65="","",IF(F65="BUY",K65*Settings!$C$11,0))</f>
        <v/>
      </c>
      <c r="P65" s="3">
        <f>IF(G65="","",L65*Settings!$C$6)</f>
        <v/>
      </c>
      <c r="Q65" s="3">
        <f>IF(G65="","",IF(AND(F65="SELL",E65="Equity Delivery"),Settings!$C$13,0))</f>
        <v/>
      </c>
      <c r="R65" s="3">
        <f>IF(G65="","",SUM(L65:Q65))</f>
        <v/>
      </c>
      <c r="S65" s="3">
        <f>IF(G65="","",IF(F65="BUY",-(K65+R65),K65-R65))</f>
        <v/>
      </c>
    </row>
    <row r="66">
      <c r="A66">
        <f>IF(G66="","",ROW()-1)</f>
        <v/>
      </c>
      <c r="B66" s="6" t="n"/>
      <c r="G66" s="3" t="n"/>
      <c r="H66" s="3" t="n"/>
      <c r="K66" s="3">
        <f>IF(G66="","",G66*H66)</f>
        <v/>
      </c>
      <c r="L66" s="3">
        <f>IF(G66="","",Settings!$C$5)</f>
        <v/>
      </c>
      <c r="M66" s="3">
        <f>IF(G66="","",IF(F66="SELL",K66*IF(E66="Equity Intraday",Settings!$C$8,Settings!$C$7),0))</f>
        <v/>
      </c>
      <c r="N66" s="3">
        <f>IF(G66="","",K66*(Settings!$C$9+Settings!$C$10))</f>
        <v/>
      </c>
      <c r="O66" s="3">
        <f>IF(G66="","",IF(F66="BUY",K66*Settings!$C$11,0))</f>
        <v/>
      </c>
      <c r="P66" s="3">
        <f>IF(G66="","",L66*Settings!$C$6)</f>
        <v/>
      </c>
      <c r="Q66" s="3">
        <f>IF(G66="","",IF(AND(F66="SELL",E66="Equity Delivery"),Settings!$C$13,0))</f>
        <v/>
      </c>
      <c r="R66" s="3">
        <f>IF(G66="","",SUM(L66:Q66))</f>
        <v/>
      </c>
      <c r="S66" s="3">
        <f>IF(G66="","",IF(F66="BUY",-(K66+R66),K66-R66))</f>
        <v/>
      </c>
    </row>
    <row r="67">
      <c r="A67">
        <f>IF(G67="","",ROW()-1)</f>
        <v/>
      </c>
      <c r="B67" s="6" t="n"/>
      <c r="G67" s="3" t="n"/>
      <c r="H67" s="3" t="n"/>
      <c r="K67" s="3">
        <f>IF(G67="","",G67*H67)</f>
        <v/>
      </c>
      <c r="L67" s="3">
        <f>IF(G67="","",Settings!$C$5)</f>
        <v/>
      </c>
      <c r="M67" s="3">
        <f>IF(G67="","",IF(F67="SELL",K67*IF(E67="Equity Intraday",Settings!$C$8,Settings!$C$7),0))</f>
        <v/>
      </c>
      <c r="N67" s="3">
        <f>IF(G67="","",K67*(Settings!$C$9+Settings!$C$10))</f>
        <v/>
      </c>
      <c r="O67" s="3">
        <f>IF(G67="","",IF(F67="BUY",K67*Settings!$C$11,0))</f>
        <v/>
      </c>
      <c r="P67" s="3">
        <f>IF(G67="","",L67*Settings!$C$6)</f>
        <v/>
      </c>
      <c r="Q67" s="3">
        <f>IF(G67="","",IF(AND(F67="SELL",E67="Equity Delivery"),Settings!$C$13,0))</f>
        <v/>
      </c>
      <c r="R67" s="3">
        <f>IF(G67="","",SUM(L67:Q67))</f>
        <v/>
      </c>
      <c r="S67" s="3">
        <f>IF(G67="","",IF(F67="BUY",-(K67+R67),K67-R67))</f>
        <v/>
      </c>
    </row>
    <row r="68">
      <c r="A68">
        <f>IF(G68="","",ROW()-1)</f>
        <v/>
      </c>
      <c r="B68" s="6" t="n"/>
      <c r="G68" s="3" t="n"/>
      <c r="H68" s="3" t="n"/>
      <c r="K68" s="3">
        <f>IF(G68="","",G68*H68)</f>
        <v/>
      </c>
      <c r="L68" s="3">
        <f>IF(G68="","",Settings!$C$5)</f>
        <v/>
      </c>
      <c r="M68" s="3">
        <f>IF(G68="","",IF(F68="SELL",K68*IF(E68="Equity Intraday",Settings!$C$8,Settings!$C$7),0))</f>
        <v/>
      </c>
      <c r="N68" s="3">
        <f>IF(G68="","",K68*(Settings!$C$9+Settings!$C$10))</f>
        <v/>
      </c>
      <c r="O68" s="3">
        <f>IF(G68="","",IF(F68="BUY",K68*Settings!$C$11,0))</f>
        <v/>
      </c>
      <c r="P68" s="3">
        <f>IF(G68="","",L68*Settings!$C$6)</f>
        <v/>
      </c>
      <c r="Q68" s="3">
        <f>IF(G68="","",IF(AND(F68="SELL",E68="Equity Delivery"),Settings!$C$13,0))</f>
        <v/>
      </c>
      <c r="R68" s="3">
        <f>IF(G68="","",SUM(L68:Q68))</f>
        <v/>
      </c>
      <c r="S68" s="3">
        <f>IF(G68="","",IF(F68="BUY",-(K68+R68),K68-R68))</f>
        <v/>
      </c>
    </row>
    <row r="69">
      <c r="A69">
        <f>IF(G69="","",ROW()-1)</f>
        <v/>
      </c>
      <c r="B69" s="6" t="n"/>
      <c r="G69" s="3" t="n"/>
      <c r="H69" s="3" t="n"/>
      <c r="K69" s="3">
        <f>IF(G69="","",G69*H69)</f>
        <v/>
      </c>
      <c r="L69" s="3">
        <f>IF(G69="","",Settings!$C$5)</f>
        <v/>
      </c>
      <c r="M69" s="3">
        <f>IF(G69="","",IF(F69="SELL",K69*IF(E69="Equity Intraday",Settings!$C$8,Settings!$C$7),0))</f>
        <v/>
      </c>
      <c r="N69" s="3">
        <f>IF(G69="","",K69*(Settings!$C$9+Settings!$C$10))</f>
        <v/>
      </c>
      <c r="O69" s="3">
        <f>IF(G69="","",IF(F69="BUY",K69*Settings!$C$11,0))</f>
        <v/>
      </c>
      <c r="P69" s="3">
        <f>IF(G69="","",L69*Settings!$C$6)</f>
        <v/>
      </c>
      <c r="Q69" s="3">
        <f>IF(G69="","",IF(AND(F69="SELL",E69="Equity Delivery"),Settings!$C$13,0))</f>
        <v/>
      </c>
      <c r="R69" s="3">
        <f>IF(G69="","",SUM(L69:Q69))</f>
        <v/>
      </c>
      <c r="S69" s="3">
        <f>IF(G69="","",IF(F69="BUY",-(K69+R69),K69-R69))</f>
        <v/>
      </c>
    </row>
    <row r="70">
      <c r="A70">
        <f>IF(G70="","",ROW()-1)</f>
        <v/>
      </c>
      <c r="B70" s="6" t="n"/>
      <c r="G70" s="3" t="n"/>
      <c r="H70" s="3" t="n"/>
      <c r="K70" s="3">
        <f>IF(G70="","",G70*H70)</f>
        <v/>
      </c>
      <c r="L70" s="3">
        <f>IF(G70="","",Settings!$C$5)</f>
        <v/>
      </c>
      <c r="M70" s="3">
        <f>IF(G70="","",IF(F70="SELL",K70*IF(E70="Equity Intraday",Settings!$C$8,Settings!$C$7),0))</f>
        <v/>
      </c>
      <c r="N70" s="3">
        <f>IF(G70="","",K70*(Settings!$C$9+Settings!$C$10))</f>
        <v/>
      </c>
      <c r="O70" s="3">
        <f>IF(G70="","",IF(F70="BUY",K70*Settings!$C$11,0))</f>
        <v/>
      </c>
      <c r="P70" s="3">
        <f>IF(G70="","",L70*Settings!$C$6)</f>
        <v/>
      </c>
      <c r="Q70" s="3">
        <f>IF(G70="","",IF(AND(F70="SELL",E70="Equity Delivery"),Settings!$C$13,0))</f>
        <v/>
      </c>
      <c r="R70" s="3">
        <f>IF(G70="","",SUM(L70:Q70))</f>
        <v/>
      </c>
      <c r="S70" s="3">
        <f>IF(G70="","",IF(F70="BUY",-(K70+R70),K70-R70))</f>
        <v/>
      </c>
    </row>
    <row r="71">
      <c r="A71">
        <f>IF(G71="","",ROW()-1)</f>
        <v/>
      </c>
      <c r="B71" s="6" t="n"/>
      <c r="G71" s="3" t="n"/>
      <c r="H71" s="3" t="n"/>
      <c r="K71" s="3">
        <f>IF(G71="","",G71*H71)</f>
        <v/>
      </c>
      <c r="L71" s="3">
        <f>IF(G71="","",Settings!$C$5)</f>
        <v/>
      </c>
      <c r="M71" s="3">
        <f>IF(G71="","",IF(F71="SELL",K71*IF(E71="Equity Intraday",Settings!$C$8,Settings!$C$7),0))</f>
        <v/>
      </c>
      <c r="N71" s="3">
        <f>IF(G71="","",K71*(Settings!$C$9+Settings!$C$10))</f>
        <v/>
      </c>
      <c r="O71" s="3">
        <f>IF(G71="","",IF(F71="BUY",K71*Settings!$C$11,0))</f>
        <v/>
      </c>
      <c r="P71" s="3">
        <f>IF(G71="","",L71*Settings!$C$6)</f>
        <v/>
      </c>
      <c r="Q71" s="3">
        <f>IF(G71="","",IF(AND(F71="SELL",E71="Equity Delivery"),Settings!$C$13,0))</f>
        <v/>
      </c>
      <c r="R71" s="3">
        <f>IF(G71="","",SUM(L71:Q71))</f>
        <v/>
      </c>
      <c r="S71" s="3">
        <f>IF(G71="","",IF(F71="BUY",-(K71+R71),K71-R71))</f>
        <v/>
      </c>
    </row>
    <row r="72">
      <c r="A72">
        <f>IF(G72="","",ROW()-1)</f>
        <v/>
      </c>
      <c r="B72" s="6" t="n"/>
      <c r="G72" s="3" t="n"/>
      <c r="H72" s="3" t="n"/>
      <c r="K72" s="3">
        <f>IF(G72="","",G72*H72)</f>
        <v/>
      </c>
      <c r="L72" s="3">
        <f>IF(G72="","",Settings!$C$5)</f>
        <v/>
      </c>
      <c r="M72" s="3">
        <f>IF(G72="","",IF(F72="SELL",K72*IF(E72="Equity Intraday",Settings!$C$8,Settings!$C$7),0))</f>
        <v/>
      </c>
      <c r="N72" s="3">
        <f>IF(G72="","",K72*(Settings!$C$9+Settings!$C$10))</f>
        <v/>
      </c>
      <c r="O72" s="3">
        <f>IF(G72="","",IF(F72="BUY",K72*Settings!$C$11,0))</f>
        <v/>
      </c>
      <c r="P72" s="3">
        <f>IF(G72="","",L72*Settings!$C$6)</f>
        <v/>
      </c>
      <c r="Q72" s="3">
        <f>IF(G72="","",IF(AND(F72="SELL",E72="Equity Delivery"),Settings!$C$13,0))</f>
        <v/>
      </c>
      <c r="R72" s="3">
        <f>IF(G72="","",SUM(L72:Q72))</f>
        <v/>
      </c>
      <c r="S72" s="3">
        <f>IF(G72="","",IF(F72="BUY",-(K72+R72),K72-R72))</f>
        <v/>
      </c>
    </row>
    <row r="73">
      <c r="A73">
        <f>IF(G73="","",ROW()-1)</f>
        <v/>
      </c>
      <c r="B73" s="6" t="n"/>
      <c r="G73" s="3" t="n"/>
      <c r="H73" s="3" t="n"/>
      <c r="K73" s="3">
        <f>IF(G73="","",G73*H73)</f>
        <v/>
      </c>
      <c r="L73" s="3">
        <f>IF(G73="","",Settings!$C$5)</f>
        <v/>
      </c>
      <c r="M73" s="3">
        <f>IF(G73="","",IF(F73="SELL",K73*IF(E73="Equity Intraday",Settings!$C$8,Settings!$C$7),0))</f>
        <v/>
      </c>
      <c r="N73" s="3">
        <f>IF(G73="","",K73*(Settings!$C$9+Settings!$C$10))</f>
        <v/>
      </c>
      <c r="O73" s="3">
        <f>IF(G73="","",IF(F73="BUY",K73*Settings!$C$11,0))</f>
        <v/>
      </c>
      <c r="P73" s="3">
        <f>IF(G73="","",L73*Settings!$C$6)</f>
        <v/>
      </c>
      <c r="Q73" s="3">
        <f>IF(G73="","",IF(AND(F73="SELL",E73="Equity Delivery"),Settings!$C$13,0))</f>
        <v/>
      </c>
      <c r="R73" s="3">
        <f>IF(G73="","",SUM(L73:Q73))</f>
        <v/>
      </c>
      <c r="S73" s="3">
        <f>IF(G73="","",IF(F73="BUY",-(K73+R73),K73-R73))</f>
        <v/>
      </c>
    </row>
    <row r="74">
      <c r="A74">
        <f>IF(G74="","",ROW()-1)</f>
        <v/>
      </c>
      <c r="B74" s="6" t="n"/>
      <c r="G74" s="3" t="n"/>
      <c r="H74" s="3" t="n"/>
      <c r="K74" s="3">
        <f>IF(G74="","",G74*H74)</f>
        <v/>
      </c>
      <c r="L74" s="3">
        <f>IF(G74="","",Settings!$C$5)</f>
        <v/>
      </c>
      <c r="M74" s="3">
        <f>IF(G74="","",IF(F74="SELL",K74*IF(E74="Equity Intraday",Settings!$C$8,Settings!$C$7),0))</f>
        <v/>
      </c>
      <c r="N74" s="3">
        <f>IF(G74="","",K74*(Settings!$C$9+Settings!$C$10))</f>
        <v/>
      </c>
      <c r="O74" s="3">
        <f>IF(G74="","",IF(F74="BUY",K74*Settings!$C$11,0))</f>
        <v/>
      </c>
      <c r="P74" s="3">
        <f>IF(G74="","",L74*Settings!$C$6)</f>
        <v/>
      </c>
      <c r="Q74" s="3">
        <f>IF(G74="","",IF(AND(F74="SELL",E74="Equity Delivery"),Settings!$C$13,0))</f>
        <v/>
      </c>
      <c r="R74" s="3">
        <f>IF(G74="","",SUM(L74:Q74))</f>
        <v/>
      </c>
      <c r="S74" s="3">
        <f>IF(G74="","",IF(F74="BUY",-(K74+R74),K74-R74))</f>
        <v/>
      </c>
    </row>
    <row r="75">
      <c r="A75">
        <f>IF(G75="","",ROW()-1)</f>
        <v/>
      </c>
      <c r="B75" s="6" t="n"/>
      <c r="G75" s="3" t="n"/>
      <c r="H75" s="3" t="n"/>
      <c r="K75" s="3">
        <f>IF(G75="","",G75*H75)</f>
        <v/>
      </c>
      <c r="L75" s="3">
        <f>IF(G75="","",Settings!$C$5)</f>
        <v/>
      </c>
      <c r="M75" s="3">
        <f>IF(G75="","",IF(F75="SELL",K75*IF(E75="Equity Intraday",Settings!$C$8,Settings!$C$7),0))</f>
        <v/>
      </c>
      <c r="N75" s="3">
        <f>IF(G75="","",K75*(Settings!$C$9+Settings!$C$10))</f>
        <v/>
      </c>
      <c r="O75" s="3">
        <f>IF(G75="","",IF(F75="BUY",K75*Settings!$C$11,0))</f>
        <v/>
      </c>
      <c r="P75" s="3">
        <f>IF(G75="","",L75*Settings!$C$6)</f>
        <v/>
      </c>
      <c r="Q75" s="3">
        <f>IF(G75="","",IF(AND(F75="SELL",E75="Equity Delivery"),Settings!$C$13,0))</f>
        <v/>
      </c>
      <c r="R75" s="3">
        <f>IF(G75="","",SUM(L75:Q75))</f>
        <v/>
      </c>
      <c r="S75" s="3">
        <f>IF(G75="","",IF(F75="BUY",-(K75+R75),K75-R75))</f>
        <v/>
      </c>
    </row>
    <row r="76">
      <c r="A76">
        <f>IF(G76="","",ROW()-1)</f>
        <v/>
      </c>
      <c r="B76" s="6" t="n"/>
      <c r="G76" s="3" t="n"/>
      <c r="H76" s="3" t="n"/>
      <c r="K76" s="3">
        <f>IF(G76="","",G76*H76)</f>
        <v/>
      </c>
      <c r="L76" s="3">
        <f>IF(G76="","",Settings!$C$5)</f>
        <v/>
      </c>
      <c r="M76" s="3">
        <f>IF(G76="","",IF(F76="SELL",K76*IF(E76="Equity Intraday",Settings!$C$8,Settings!$C$7),0))</f>
        <v/>
      </c>
      <c r="N76" s="3">
        <f>IF(G76="","",K76*(Settings!$C$9+Settings!$C$10))</f>
        <v/>
      </c>
      <c r="O76" s="3">
        <f>IF(G76="","",IF(F76="BUY",K76*Settings!$C$11,0))</f>
        <v/>
      </c>
      <c r="P76" s="3">
        <f>IF(G76="","",L76*Settings!$C$6)</f>
        <v/>
      </c>
      <c r="Q76" s="3">
        <f>IF(G76="","",IF(AND(F76="SELL",E76="Equity Delivery"),Settings!$C$13,0))</f>
        <v/>
      </c>
      <c r="R76" s="3">
        <f>IF(G76="","",SUM(L76:Q76))</f>
        <v/>
      </c>
      <c r="S76" s="3">
        <f>IF(G76="","",IF(F76="BUY",-(K76+R76),K76-R76))</f>
        <v/>
      </c>
    </row>
    <row r="77">
      <c r="A77">
        <f>IF(G77="","",ROW()-1)</f>
        <v/>
      </c>
      <c r="B77" s="6" t="n"/>
      <c r="G77" s="3" t="n"/>
      <c r="H77" s="3" t="n"/>
      <c r="K77" s="3">
        <f>IF(G77="","",G77*H77)</f>
        <v/>
      </c>
      <c r="L77" s="3">
        <f>IF(G77="","",Settings!$C$5)</f>
        <v/>
      </c>
      <c r="M77" s="3">
        <f>IF(G77="","",IF(F77="SELL",K77*IF(E77="Equity Intraday",Settings!$C$8,Settings!$C$7),0))</f>
        <v/>
      </c>
      <c r="N77" s="3">
        <f>IF(G77="","",K77*(Settings!$C$9+Settings!$C$10))</f>
        <v/>
      </c>
      <c r="O77" s="3">
        <f>IF(G77="","",IF(F77="BUY",K77*Settings!$C$11,0))</f>
        <v/>
      </c>
      <c r="P77" s="3">
        <f>IF(G77="","",L77*Settings!$C$6)</f>
        <v/>
      </c>
      <c r="Q77" s="3">
        <f>IF(G77="","",IF(AND(F77="SELL",E77="Equity Delivery"),Settings!$C$13,0))</f>
        <v/>
      </c>
      <c r="R77" s="3">
        <f>IF(G77="","",SUM(L77:Q77))</f>
        <v/>
      </c>
      <c r="S77" s="3">
        <f>IF(G77="","",IF(F77="BUY",-(K77+R77),K77-R77))</f>
        <v/>
      </c>
    </row>
    <row r="78">
      <c r="A78">
        <f>IF(G78="","",ROW()-1)</f>
        <v/>
      </c>
      <c r="B78" s="6" t="n"/>
      <c r="G78" s="3" t="n"/>
      <c r="H78" s="3" t="n"/>
      <c r="K78" s="3">
        <f>IF(G78="","",G78*H78)</f>
        <v/>
      </c>
      <c r="L78" s="3">
        <f>IF(G78="","",Settings!$C$5)</f>
        <v/>
      </c>
      <c r="M78" s="3">
        <f>IF(G78="","",IF(F78="SELL",K78*IF(E78="Equity Intraday",Settings!$C$8,Settings!$C$7),0))</f>
        <v/>
      </c>
      <c r="N78" s="3">
        <f>IF(G78="","",K78*(Settings!$C$9+Settings!$C$10))</f>
        <v/>
      </c>
      <c r="O78" s="3">
        <f>IF(G78="","",IF(F78="BUY",K78*Settings!$C$11,0))</f>
        <v/>
      </c>
      <c r="P78" s="3">
        <f>IF(G78="","",L78*Settings!$C$6)</f>
        <v/>
      </c>
      <c r="Q78" s="3">
        <f>IF(G78="","",IF(AND(F78="SELL",E78="Equity Delivery"),Settings!$C$13,0))</f>
        <v/>
      </c>
      <c r="R78" s="3">
        <f>IF(G78="","",SUM(L78:Q78))</f>
        <v/>
      </c>
      <c r="S78" s="3">
        <f>IF(G78="","",IF(F78="BUY",-(K78+R78),K78-R78))</f>
        <v/>
      </c>
    </row>
    <row r="79">
      <c r="A79">
        <f>IF(G79="","",ROW()-1)</f>
        <v/>
      </c>
      <c r="B79" s="6" t="n"/>
      <c r="G79" s="3" t="n"/>
      <c r="H79" s="3" t="n"/>
      <c r="K79" s="3">
        <f>IF(G79="","",G79*H79)</f>
        <v/>
      </c>
      <c r="L79" s="3">
        <f>IF(G79="","",Settings!$C$5)</f>
        <v/>
      </c>
      <c r="M79" s="3">
        <f>IF(G79="","",IF(F79="SELL",K79*IF(E79="Equity Intraday",Settings!$C$8,Settings!$C$7),0))</f>
        <v/>
      </c>
      <c r="N79" s="3">
        <f>IF(G79="","",K79*(Settings!$C$9+Settings!$C$10))</f>
        <v/>
      </c>
      <c r="O79" s="3">
        <f>IF(G79="","",IF(F79="BUY",K79*Settings!$C$11,0))</f>
        <v/>
      </c>
      <c r="P79" s="3">
        <f>IF(G79="","",L79*Settings!$C$6)</f>
        <v/>
      </c>
      <c r="Q79" s="3">
        <f>IF(G79="","",IF(AND(F79="SELL",E79="Equity Delivery"),Settings!$C$13,0))</f>
        <v/>
      </c>
      <c r="R79" s="3">
        <f>IF(G79="","",SUM(L79:Q79))</f>
        <v/>
      </c>
      <c r="S79" s="3">
        <f>IF(G79="","",IF(F79="BUY",-(K79+R79),K79-R79))</f>
        <v/>
      </c>
    </row>
    <row r="80">
      <c r="A80">
        <f>IF(G80="","",ROW()-1)</f>
        <v/>
      </c>
      <c r="B80" s="6" t="n"/>
      <c r="G80" s="3" t="n"/>
      <c r="H80" s="3" t="n"/>
      <c r="K80" s="3">
        <f>IF(G80="","",G80*H80)</f>
        <v/>
      </c>
      <c r="L80" s="3">
        <f>IF(G80="","",Settings!$C$5)</f>
        <v/>
      </c>
      <c r="M80" s="3">
        <f>IF(G80="","",IF(F80="SELL",K80*IF(E80="Equity Intraday",Settings!$C$8,Settings!$C$7),0))</f>
        <v/>
      </c>
      <c r="N80" s="3">
        <f>IF(G80="","",K80*(Settings!$C$9+Settings!$C$10))</f>
        <v/>
      </c>
      <c r="O80" s="3">
        <f>IF(G80="","",IF(F80="BUY",K80*Settings!$C$11,0))</f>
        <v/>
      </c>
      <c r="P80" s="3">
        <f>IF(G80="","",L80*Settings!$C$6)</f>
        <v/>
      </c>
      <c r="Q80" s="3">
        <f>IF(G80="","",IF(AND(F80="SELL",E80="Equity Delivery"),Settings!$C$13,0))</f>
        <v/>
      </c>
      <c r="R80" s="3">
        <f>IF(G80="","",SUM(L80:Q80))</f>
        <v/>
      </c>
      <c r="S80" s="3">
        <f>IF(G80="","",IF(F80="BUY",-(K80+R80),K80-R80))</f>
        <v/>
      </c>
    </row>
    <row r="81">
      <c r="A81">
        <f>IF(G81="","",ROW()-1)</f>
        <v/>
      </c>
      <c r="B81" s="6" t="n"/>
      <c r="G81" s="3" t="n"/>
      <c r="H81" s="3" t="n"/>
      <c r="K81" s="3">
        <f>IF(G81="","",G81*H81)</f>
        <v/>
      </c>
      <c r="L81" s="3">
        <f>IF(G81="","",Settings!$C$5)</f>
        <v/>
      </c>
      <c r="M81" s="3">
        <f>IF(G81="","",IF(F81="SELL",K81*IF(E81="Equity Intraday",Settings!$C$8,Settings!$C$7),0))</f>
        <v/>
      </c>
      <c r="N81" s="3">
        <f>IF(G81="","",K81*(Settings!$C$9+Settings!$C$10))</f>
        <v/>
      </c>
      <c r="O81" s="3">
        <f>IF(G81="","",IF(F81="BUY",K81*Settings!$C$11,0))</f>
        <v/>
      </c>
      <c r="P81" s="3">
        <f>IF(G81="","",L81*Settings!$C$6)</f>
        <v/>
      </c>
      <c r="Q81" s="3">
        <f>IF(G81="","",IF(AND(F81="SELL",E81="Equity Delivery"),Settings!$C$13,0))</f>
        <v/>
      </c>
      <c r="R81" s="3">
        <f>IF(G81="","",SUM(L81:Q81))</f>
        <v/>
      </c>
      <c r="S81" s="3">
        <f>IF(G81="","",IF(F81="BUY",-(K81+R81),K81-R81))</f>
        <v/>
      </c>
    </row>
    <row r="82">
      <c r="A82">
        <f>IF(G82="","",ROW()-1)</f>
        <v/>
      </c>
      <c r="B82" s="6" t="n"/>
      <c r="G82" s="3" t="n"/>
      <c r="H82" s="3" t="n"/>
      <c r="K82" s="3">
        <f>IF(G82="","",G82*H82)</f>
        <v/>
      </c>
      <c r="L82" s="3">
        <f>IF(G82="","",Settings!$C$5)</f>
        <v/>
      </c>
      <c r="M82" s="3">
        <f>IF(G82="","",IF(F82="SELL",K82*IF(E82="Equity Intraday",Settings!$C$8,Settings!$C$7),0))</f>
        <v/>
      </c>
      <c r="N82" s="3">
        <f>IF(G82="","",K82*(Settings!$C$9+Settings!$C$10))</f>
        <v/>
      </c>
      <c r="O82" s="3">
        <f>IF(G82="","",IF(F82="BUY",K82*Settings!$C$11,0))</f>
        <v/>
      </c>
      <c r="P82" s="3">
        <f>IF(G82="","",L82*Settings!$C$6)</f>
        <v/>
      </c>
      <c r="Q82" s="3">
        <f>IF(G82="","",IF(AND(F82="SELL",E82="Equity Delivery"),Settings!$C$13,0))</f>
        <v/>
      </c>
      <c r="R82" s="3">
        <f>IF(G82="","",SUM(L82:Q82))</f>
        <v/>
      </c>
      <c r="S82" s="3">
        <f>IF(G82="","",IF(F82="BUY",-(K82+R82),K82-R82))</f>
        <v/>
      </c>
    </row>
    <row r="83">
      <c r="A83">
        <f>IF(G83="","",ROW()-1)</f>
        <v/>
      </c>
      <c r="B83" s="6" t="n"/>
      <c r="G83" s="3" t="n"/>
      <c r="H83" s="3" t="n"/>
      <c r="K83" s="3">
        <f>IF(G83="","",G83*H83)</f>
        <v/>
      </c>
      <c r="L83" s="3">
        <f>IF(G83="","",Settings!$C$5)</f>
        <v/>
      </c>
      <c r="M83" s="3">
        <f>IF(G83="","",IF(F83="SELL",K83*IF(E83="Equity Intraday",Settings!$C$8,Settings!$C$7),0))</f>
        <v/>
      </c>
      <c r="N83" s="3">
        <f>IF(G83="","",K83*(Settings!$C$9+Settings!$C$10))</f>
        <v/>
      </c>
      <c r="O83" s="3">
        <f>IF(G83="","",IF(F83="BUY",K83*Settings!$C$11,0))</f>
        <v/>
      </c>
      <c r="P83" s="3">
        <f>IF(G83="","",L83*Settings!$C$6)</f>
        <v/>
      </c>
      <c r="Q83" s="3">
        <f>IF(G83="","",IF(AND(F83="SELL",E83="Equity Delivery"),Settings!$C$13,0))</f>
        <v/>
      </c>
      <c r="R83" s="3">
        <f>IF(G83="","",SUM(L83:Q83))</f>
        <v/>
      </c>
      <c r="S83" s="3">
        <f>IF(G83="","",IF(F83="BUY",-(K83+R83),K83-R83))</f>
        <v/>
      </c>
    </row>
    <row r="84">
      <c r="A84">
        <f>IF(G84="","",ROW()-1)</f>
        <v/>
      </c>
      <c r="B84" s="6" t="n"/>
      <c r="G84" s="3" t="n"/>
      <c r="H84" s="3" t="n"/>
      <c r="K84" s="3">
        <f>IF(G84="","",G84*H84)</f>
        <v/>
      </c>
      <c r="L84" s="3">
        <f>IF(G84="","",Settings!$C$5)</f>
        <v/>
      </c>
      <c r="M84" s="3">
        <f>IF(G84="","",IF(F84="SELL",K84*IF(E84="Equity Intraday",Settings!$C$8,Settings!$C$7),0))</f>
        <v/>
      </c>
      <c r="N84" s="3">
        <f>IF(G84="","",K84*(Settings!$C$9+Settings!$C$10))</f>
        <v/>
      </c>
      <c r="O84" s="3">
        <f>IF(G84="","",IF(F84="BUY",K84*Settings!$C$11,0))</f>
        <v/>
      </c>
      <c r="P84" s="3">
        <f>IF(G84="","",L84*Settings!$C$6)</f>
        <v/>
      </c>
      <c r="Q84" s="3">
        <f>IF(G84="","",IF(AND(F84="SELL",E84="Equity Delivery"),Settings!$C$13,0))</f>
        <v/>
      </c>
      <c r="R84" s="3">
        <f>IF(G84="","",SUM(L84:Q84))</f>
        <v/>
      </c>
      <c r="S84" s="3">
        <f>IF(G84="","",IF(F84="BUY",-(K84+R84),K84-R84))</f>
        <v/>
      </c>
    </row>
    <row r="85">
      <c r="A85">
        <f>IF(G85="","",ROW()-1)</f>
        <v/>
      </c>
      <c r="B85" s="6" t="n"/>
      <c r="G85" s="3" t="n"/>
      <c r="H85" s="3" t="n"/>
      <c r="K85" s="3">
        <f>IF(G85="","",G85*H85)</f>
        <v/>
      </c>
      <c r="L85" s="3">
        <f>IF(G85="","",Settings!$C$5)</f>
        <v/>
      </c>
      <c r="M85" s="3">
        <f>IF(G85="","",IF(F85="SELL",K85*IF(E85="Equity Intraday",Settings!$C$8,Settings!$C$7),0))</f>
        <v/>
      </c>
      <c r="N85" s="3">
        <f>IF(G85="","",K85*(Settings!$C$9+Settings!$C$10))</f>
        <v/>
      </c>
      <c r="O85" s="3">
        <f>IF(G85="","",IF(F85="BUY",K85*Settings!$C$11,0))</f>
        <v/>
      </c>
      <c r="P85" s="3">
        <f>IF(G85="","",L85*Settings!$C$6)</f>
        <v/>
      </c>
      <c r="Q85" s="3">
        <f>IF(G85="","",IF(AND(F85="SELL",E85="Equity Delivery"),Settings!$C$13,0))</f>
        <v/>
      </c>
      <c r="R85" s="3">
        <f>IF(G85="","",SUM(L85:Q85))</f>
        <v/>
      </c>
      <c r="S85" s="3">
        <f>IF(G85="","",IF(F85="BUY",-(K85+R85),K85-R85))</f>
        <v/>
      </c>
    </row>
    <row r="86">
      <c r="A86">
        <f>IF(G86="","",ROW()-1)</f>
        <v/>
      </c>
      <c r="B86" s="6" t="n"/>
      <c r="G86" s="3" t="n"/>
      <c r="H86" s="3" t="n"/>
      <c r="K86" s="3">
        <f>IF(G86="","",G86*H86)</f>
        <v/>
      </c>
      <c r="L86" s="3">
        <f>IF(G86="","",Settings!$C$5)</f>
        <v/>
      </c>
      <c r="M86" s="3">
        <f>IF(G86="","",IF(F86="SELL",K86*IF(E86="Equity Intraday",Settings!$C$8,Settings!$C$7),0))</f>
        <v/>
      </c>
      <c r="N86" s="3">
        <f>IF(G86="","",K86*(Settings!$C$9+Settings!$C$10))</f>
        <v/>
      </c>
      <c r="O86" s="3">
        <f>IF(G86="","",IF(F86="BUY",K86*Settings!$C$11,0))</f>
        <v/>
      </c>
      <c r="P86" s="3">
        <f>IF(G86="","",L86*Settings!$C$6)</f>
        <v/>
      </c>
      <c r="Q86" s="3">
        <f>IF(G86="","",IF(AND(F86="SELL",E86="Equity Delivery"),Settings!$C$13,0))</f>
        <v/>
      </c>
      <c r="R86" s="3">
        <f>IF(G86="","",SUM(L86:Q86))</f>
        <v/>
      </c>
      <c r="S86" s="3">
        <f>IF(G86="","",IF(F86="BUY",-(K86+R86),K86-R86))</f>
        <v/>
      </c>
    </row>
    <row r="87">
      <c r="A87">
        <f>IF(G87="","",ROW()-1)</f>
        <v/>
      </c>
      <c r="B87" s="6" t="n"/>
      <c r="G87" s="3" t="n"/>
      <c r="H87" s="3" t="n"/>
      <c r="K87" s="3">
        <f>IF(G87="","",G87*H87)</f>
        <v/>
      </c>
      <c r="L87" s="3">
        <f>IF(G87="","",Settings!$C$5)</f>
        <v/>
      </c>
      <c r="M87" s="3">
        <f>IF(G87="","",IF(F87="SELL",K87*IF(E87="Equity Intraday",Settings!$C$8,Settings!$C$7),0))</f>
        <v/>
      </c>
      <c r="N87" s="3">
        <f>IF(G87="","",K87*(Settings!$C$9+Settings!$C$10))</f>
        <v/>
      </c>
      <c r="O87" s="3">
        <f>IF(G87="","",IF(F87="BUY",K87*Settings!$C$11,0))</f>
        <v/>
      </c>
      <c r="P87" s="3">
        <f>IF(G87="","",L87*Settings!$C$6)</f>
        <v/>
      </c>
      <c r="Q87" s="3">
        <f>IF(G87="","",IF(AND(F87="SELL",E87="Equity Delivery"),Settings!$C$13,0))</f>
        <v/>
      </c>
      <c r="R87" s="3">
        <f>IF(G87="","",SUM(L87:Q87))</f>
        <v/>
      </c>
      <c r="S87" s="3">
        <f>IF(G87="","",IF(F87="BUY",-(K87+R87),K87-R87))</f>
        <v/>
      </c>
    </row>
    <row r="88">
      <c r="A88">
        <f>IF(G88="","",ROW()-1)</f>
        <v/>
      </c>
      <c r="B88" s="6" t="n"/>
      <c r="G88" s="3" t="n"/>
      <c r="H88" s="3" t="n"/>
      <c r="K88" s="3">
        <f>IF(G88="","",G88*H88)</f>
        <v/>
      </c>
      <c r="L88" s="3">
        <f>IF(G88="","",Settings!$C$5)</f>
        <v/>
      </c>
      <c r="M88" s="3">
        <f>IF(G88="","",IF(F88="SELL",K88*IF(E88="Equity Intraday",Settings!$C$8,Settings!$C$7),0))</f>
        <v/>
      </c>
      <c r="N88" s="3">
        <f>IF(G88="","",K88*(Settings!$C$9+Settings!$C$10))</f>
        <v/>
      </c>
      <c r="O88" s="3">
        <f>IF(G88="","",IF(F88="BUY",K88*Settings!$C$11,0))</f>
        <v/>
      </c>
      <c r="P88" s="3">
        <f>IF(G88="","",L88*Settings!$C$6)</f>
        <v/>
      </c>
      <c r="Q88" s="3">
        <f>IF(G88="","",IF(AND(F88="SELL",E88="Equity Delivery"),Settings!$C$13,0))</f>
        <v/>
      </c>
      <c r="R88" s="3">
        <f>IF(G88="","",SUM(L88:Q88))</f>
        <v/>
      </c>
      <c r="S88" s="3">
        <f>IF(G88="","",IF(F88="BUY",-(K88+R88),K88-R88))</f>
        <v/>
      </c>
    </row>
    <row r="89">
      <c r="A89">
        <f>IF(G89="","",ROW()-1)</f>
        <v/>
      </c>
      <c r="B89" s="6" t="n"/>
      <c r="G89" s="3" t="n"/>
      <c r="H89" s="3" t="n"/>
      <c r="K89" s="3">
        <f>IF(G89="","",G89*H89)</f>
        <v/>
      </c>
      <c r="L89" s="3">
        <f>IF(G89="","",Settings!$C$5)</f>
        <v/>
      </c>
      <c r="M89" s="3">
        <f>IF(G89="","",IF(F89="SELL",K89*IF(E89="Equity Intraday",Settings!$C$8,Settings!$C$7),0))</f>
        <v/>
      </c>
      <c r="N89" s="3">
        <f>IF(G89="","",K89*(Settings!$C$9+Settings!$C$10))</f>
        <v/>
      </c>
      <c r="O89" s="3">
        <f>IF(G89="","",IF(F89="BUY",K89*Settings!$C$11,0))</f>
        <v/>
      </c>
      <c r="P89" s="3">
        <f>IF(G89="","",L89*Settings!$C$6)</f>
        <v/>
      </c>
      <c r="Q89" s="3">
        <f>IF(G89="","",IF(AND(F89="SELL",E89="Equity Delivery"),Settings!$C$13,0))</f>
        <v/>
      </c>
      <c r="R89" s="3">
        <f>IF(G89="","",SUM(L89:Q89))</f>
        <v/>
      </c>
      <c r="S89" s="3">
        <f>IF(G89="","",IF(F89="BUY",-(K89+R89),K89-R89))</f>
        <v/>
      </c>
    </row>
    <row r="90">
      <c r="A90">
        <f>IF(G90="","",ROW()-1)</f>
        <v/>
      </c>
      <c r="B90" s="6" t="n"/>
      <c r="G90" s="3" t="n"/>
      <c r="H90" s="3" t="n"/>
      <c r="K90" s="3">
        <f>IF(G90="","",G90*H90)</f>
        <v/>
      </c>
      <c r="L90" s="3">
        <f>IF(G90="","",Settings!$C$5)</f>
        <v/>
      </c>
      <c r="M90" s="3">
        <f>IF(G90="","",IF(F90="SELL",K90*IF(E90="Equity Intraday",Settings!$C$8,Settings!$C$7),0))</f>
        <v/>
      </c>
      <c r="N90" s="3">
        <f>IF(G90="","",K90*(Settings!$C$9+Settings!$C$10))</f>
        <v/>
      </c>
      <c r="O90" s="3">
        <f>IF(G90="","",IF(F90="BUY",K90*Settings!$C$11,0))</f>
        <v/>
      </c>
      <c r="P90" s="3">
        <f>IF(G90="","",L90*Settings!$C$6)</f>
        <v/>
      </c>
      <c r="Q90" s="3">
        <f>IF(G90="","",IF(AND(F90="SELL",E90="Equity Delivery"),Settings!$C$13,0))</f>
        <v/>
      </c>
      <c r="R90" s="3">
        <f>IF(G90="","",SUM(L90:Q90))</f>
        <v/>
      </c>
      <c r="S90" s="3">
        <f>IF(G90="","",IF(F90="BUY",-(K90+R90),K90-R90))</f>
        <v/>
      </c>
    </row>
    <row r="91">
      <c r="A91">
        <f>IF(G91="","",ROW()-1)</f>
        <v/>
      </c>
      <c r="B91" s="6" t="n"/>
      <c r="G91" s="3" t="n"/>
      <c r="H91" s="3" t="n"/>
      <c r="K91" s="3">
        <f>IF(G91="","",G91*H91)</f>
        <v/>
      </c>
      <c r="L91" s="3">
        <f>IF(G91="","",Settings!$C$5)</f>
        <v/>
      </c>
      <c r="M91" s="3">
        <f>IF(G91="","",IF(F91="SELL",K91*IF(E91="Equity Intraday",Settings!$C$8,Settings!$C$7),0))</f>
        <v/>
      </c>
      <c r="N91" s="3">
        <f>IF(G91="","",K91*(Settings!$C$9+Settings!$C$10))</f>
        <v/>
      </c>
      <c r="O91" s="3">
        <f>IF(G91="","",IF(F91="BUY",K91*Settings!$C$11,0))</f>
        <v/>
      </c>
      <c r="P91" s="3">
        <f>IF(G91="","",L91*Settings!$C$6)</f>
        <v/>
      </c>
      <c r="Q91" s="3">
        <f>IF(G91="","",IF(AND(F91="SELL",E91="Equity Delivery"),Settings!$C$13,0))</f>
        <v/>
      </c>
      <c r="R91" s="3">
        <f>IF(G91="","",SUM(L91:Q91))</f>
        <v/>
      </c>
      <c r="S91" s="3">
        <f>IF(G91="","",IF(F91="BUY",-(K91+R91),K91-R91))</f>
        <v/>
      </c>
    </row>
    <row r="92">
      <c r="A92">
        <f>IF(G92="","",ROW()-1)</f>
        <v/>
      </c>
      <c r="B92" s="6" t="n"/>
      <c r="G92" s="3" t="n"/>
      <c r="H92" s="3" t="n"/>
      <c r="K92" s="3">
        <f>IF(G92="","",G92*H92)</f>
        <v/>
      </c>
      <c r="L92" s="3">
        <f>IF(G92="","",Settings!$C$5)</f>
        <v/>
      </c>
      <c r="M92" s="3">
        <f>IF(G92="","",IF(F92="SELL",K92*IF(E92="Equity Intraday",Settings!$C$8,Settings!$C$7),0))</f>
        <v/>
      </c>
      <c r="N92" s="3">
        <f>IF(G92="","",K92*(Settings!$C$9+Settings!$C$10))</f>
        <v/>
      </c>
      <c r="O92" s="3">
        <f>IF(G92="","",IF(F92="BUY",K92*Settings!$C$11,0))</f>
        <v/>
      </c>
      <c r="P92" s="3">
        <f>IF(G92="","",L92*Settings!$C$6)</f>
        <v/>
      </c>
      <c r="Q92" s="3">
        <f>IF(G92="","",IF(AND(F92="SELL",E92="Equity Delivery"),Settings!$C$13,0))</f>
        <v/>
      </c>
      <c r="R92" s="3">
        <f>IF(G92="","",SUM(L92:Q92))</f>
        <v/>
      </c>
      <c r="S92" s="3">
        <f>IF(G92="","",IF(F92="BUY",-(K92+R92),K92-R92))</f>
        <v/>
      </c>
    </row>
    <row r="93">
      <c r="A93">
        <f>IF(G93="","",ROW()-1)</f>
        <v/>
      </c>
      <c r="B93" s="6" t="n"/>
      <c r="G93" s="3" t="n"/>
      <c r="H93" s="3" t="n"/>
      <c r="K93" s="3">
        <f>IF(G93="","",G93*H93)</f>
        <v/>
      </c>
      <c r="L93" s="3">
        <f>IF(G93="","",Settings!$C$5)</f>
        <v/>
      </c>
      <c r="M93" s="3">
        <f>IF(G93="","",IF(F93="SELL",K93*IF(E93="Equity Intraday",Settings!$C$8,Settings!$C$7),0))</f>
        <v/>
      </c>
      <c r="N93" s="3">
        <f>IF(G93="","",K93*(Settings!$C$9+Settings!$C$10))</f>
        <v/>
      </c>
      <c r="O93" s="3">
        <f>IF(G93="","",IF(F93="BUY",K93*Settings!$C$11,0))</f>
        <v/>
      </c>
      <c r="P93" s="3">
        <f>IF(G93="","",L93*Settings!$C$6)</f>
        <v/>
      </c>
      <c r="Q93" s="3">
        <f>IF(G93="","",IF(AND(F93="SELL",E93="Equity Delivery"),Settings!$C$13,0))</f>
        <v/>
      </c>
      <c r="R93" s="3">
        <f>IF(G93="","",SUM(L93:Q93))</f>
        <v/>
      </c>
      <c r="S93" s="3">
        <f>IF(G93="","",IF(F93="BUY",-(K93+R93),K93-R93))</f>
        <v/>
      </c>
    </row>
    <row r="94">
      <c r="A94">
        <f>IF(G94="","",ROW()-1)</f>
        <v/>
      </c>
      <c r="B94" s="6" t="n"/>
      <c r="G94" s="3" t="n"/>
      <c r="H94" s="3" t="n"/>
      <c r="K94" s="3">
        <f>IF(G94="","",G94*H94)</f>
        <v/>
      </c>
      <c r="L94" s="3">
        <f>IF(G94="","",Settings!$C$5)</f>
        <v/>
      </c>
      <c r="M94" s="3">
        <f>IF(G94="","",IF(F94="SELL",K94*IF(E94="Equity Intraday",Settings!$C$8,Settings!$C$7),0))</f>
        <v/>
      </c>
      <c r="N94" s="3">
        <f>IF(G94="","",K94*(Settings!$C$9+Settings!$C$10))</f>
        <v/>
      </c>
      <c r="O94" s="3">
        <f>IF(G94="","",IF(F94="BUY",K94*Settings!$C$11,0))</f>
        <v/>
      </c>
      <c r="P94" s="3">
        <f>IF(G94="","",L94*Settings!$C$6)</f>
        <v/>
      </c>
      <c r="Q94" s="3">
        <f>IF(G94="","",IF(AND(F94="SELL",E94="Equity Delivery"),Settings!$C$13,0))</f>
        <v/>
      </c>
      <c r="R94" s="3">
        <f>IF(G94="","",SUM(L94:Q94))</f>
        <v/>
      </c>
      <c r="S94" s="3">
        <f>IF(G94="","",IF(F94="BUY",-(K94+R94),K94-R94))</f>
        <v/>
      </c>
    </row>
    <row r="95">
      <c r="A95">
        <f>IF(G95="","",ROW()-1)</f>
        <v/>
      </c>
      <c r="B95" s="6" t="n"/>
      <c r="G95" s="3" t="n"/>
      <c r="H95" s="3" t="n"/>
      <c r="K95" s="3">
        <f>IF(G95="","",G95*H95)</f>
        <v/>
      </c>
      <c r="L95" s="3">
        <f>IF(G95="","",Settings!$C$5)</f>
        <v/>
      </c>
      <c r="M95" s="3">
        <f>IF(G95="","",IF(F95="SELL",K95*IF(E95="Equity Intraday",Settings!$C$8,Settings!$C$7),0))</f>
        <v/>
      </c>
      <c r="N95" s="3">
        <f>IF(G95="","",K95*(Settings!$C$9+Settings!$C$10))</f>
        <v/>
      </c>
      <c r="O95" s="3">
        <f>IF(G95="","",IF(F95="BUY",K95*Settings!$C$11,0))</f>
        <v/>
      </c>
      <c r="P95" s="3">
        <f>IF(G95="","",L95*Settings!$C$6)</f>
        <v/>
      </c>
      <c r="Q95" s="3">
        <f>IF(G95="","",IF(AND(F95="SELL",E95="Equity Delivery"),Settings!$C$13,0))</f>
        <v/>
      </c>
      <c r="R95" s="3">
        <f>IF(G95="","",SUM(L95:Q95))</f>
        <v/>
      </c>
      <c r="S95" s="3">
        <f>IF(G95="","",IF(F95="BUY",-(K95+R95),K95-R95))</f>
        <v/>
      </c>
    </row>
    <row r="96">
      <c r="A96">
        <f>IF(G96="","",ROW()-1)</f>
        <v/>
      </c>
      <c r="B96" s="6" t="n"/>
      <c r="G96" s="3" t="n"/>
      <c r="H96" s="3" t="n"/>
      <c r="K96" s="3">
        <f>IF(G96="","",G96*H96)</f>
        <v/>
      </c>
      <c r="L96" s="3">
        <f>IF(G96="","",Settings!$C$5)</f>
        <v/>
      </c>
      <c r="M96" s="3">
        <f>IF(G96="","",IF(F96="SELL",K96*IF(E96="Equity Intraday",Settings!$C$8,Settings!$C$7),0))</f>
        <v/>
      </c>
      <c r="N96" s="3">
        <f>IF(G96="","",K96*(Settings!$C$9+Settings!$C$10))</f>
        <v/>
      </c>
      <c r="O96" s="3">
        <f>IF(G96="","",IF(F96="BUY",K96*Settings!$C$11,0))</f>
        <v/>
      </c>
      <c r="P96" s="3">
        <f>IF(G96="","",L96*Settings!$C$6)</f>
        <v/>
      </c>
      <c r="Q96" s="3">
        <f>IF(G96="","",IF(AND(F96="SELL",E96="Equity Delivery"),Settings!$C$13,0))</f>
        <v/>
      </c>
      <c r="R96" s="3">
        <f>IF(G96="","",SUM(L96:Q96))</f>
        <v/>
      </c>
      <c r="S96" s="3">
        <f>IF(G96="","",IF(F96="BUY",-(K96+R96),K96-R96))</f>
        <v/>
      </c>
    </row>
    <row r="97">
      <c r="A97">
        <f>IF(G97="","",ROW()-1)</f>
        <v/>
      </c>
      <c r="B97" s="6" t="n"/>
      <c r="G97" s="3" t="n"/>
      <c r="H97" s="3" t="n"/>
      <c r="K97" s="3">
        <f>IF(G97="","",G97*H97)</f>
        <v/>
      </c>
      <c r="L97" s="3">
        <f>IF(G97="","",Settings!$C$5)</f>
        <v/>
      </c>
      <c r="M97" s="3">
        <f>IF(G97="","",IF(F97="SELL",K97*IF(E97="Equity Intraday",Settings!$C$8,Settings!$C$7),0))</f>
        <v/>
      </c>
      <c r="N97" s="3">
        <f>IF(G97="","",K97*(Settings!$C$9+Settings!$C$10))</f>
        <v/>
      </c>
      <c r="O97" s="3">
        <f>IF(G97="","",IF(F97="BUY",K97*Settings!$C$11,0))</f>
        <v/>
      </c>
      <c r="P97" s="3">
        <f>IF(G97="","",L97*Settings!$C$6)</f>
        <v/>
      </c>
      <c r="Q97" s="3">
        <f>IF(G97="","",IF(AND(F97="SELL",E97="Equity Delivery"),Settings!$C$13,0))</f>
        <v/>
      </c>
      <c r="R97" s="3">
        <f>IF(G97="","",SUM(L97:Q97))</f>
        <v/>
      </c>
      <c r="S97" s="3">
        <f>IF(G97="","",IF(F97="BUY",-(K97+R97),K97-R97))</f>
        <v/>
      </c>
    </row>
    <row r="98">
      <c r="A98">
        <f>IF(G98="","",ROW()-1)</f>
        <v/>
      </c>
      <c r="B98" s="6" t="n"/>
      <c r="G98" s="3" t="n"/>
      <c r="H98" s="3" t="n"/>
      <c r="K98" s="3">
        <f>IF(G98="","",G98*H98)</f>
        <v/>
      </c>
      <c r="L98" s="3">
        <f>IF(G98="","",Settings!$C$5)</f>
        <v/>
      </c>
      <c r="M98" s="3">
        <f>IF(G98="","",IF(F98="SELL",K98*IF(E98="Equity Intraday",Settings!$C$8,Settings!$C$7),0))</f>
        <v/>
      </c>
      <c r="N98" s="3">
        <f>IF(G98="","",K98*(Settings!$C$9+Settings!$C$10))</f>
        <v/>
      </c>
      <c r="O98" s="3">
        <f>IF(G98="","",IF(F98="BUY",K98*Settings!$C$11,0))</f>
        <v/>
      </c>
      <c r="P98" s="3">
        <f>IF(G98="","",L98*Settings!$C$6)</f>
        <v/>
      </c>
      <c r="Q98" s="3">
        <f>IF(G98="","",IF(AND(F98="SELL",E98="Equity Delivery"),Settings!$C$13,0))</f>
        <v/>
      </c>
      <c r="R98" s="3">
        <f>IF(G98="","",SUM(L98:Q98))</f>
        <v/>
      </c>
      <c r="S98" s="3">
        <f>IF(G98="","",IF(F98="BUY",-(K98+R98),K98-R98))</f>
        <v/>
      </c>
    </row>
    <row r="99">
      <c r="A99">
        <f>IF(G99="","",ROW()-1)</f>
        <v/>
      </c>
      <c r="B99" s="6" t="n"/>
      <c r="G99" s="3" t="n"/>
      <c r="H99" s="3" t="n"/>
      <c r="K99" s="3">
        <f>IF(G99="","",G99*H99)</f>
        <v/>
      </c>
      <c r="L99" s="3">
        <f>IF(G99="","",Settings!$C$5)</f>
        <v/>
      </c>
      <c r="M99" s="3">
        <f>IF(G99="","",IF(F99="SELL",K99*IF(E99="Equity Intraday",Settings!$C$8,Settings!$C$7),0))</f>
        <v/>
      </c>
      <c r="N99" s="3">
        <f>IF(G99="","",K99*(Settings!$C$9+Settings!$C$10))</f>
        <v/>
      </c>
      <c r="O99" s="3">
        <f>IF(G99="","",IF(F99="BUY",K99*Settings!$C$11,0))</f>
        <v/>
      </c>
      <c r="P99" s="3">
        <f>IF(G99="","",L99*Settings!$C$6)</f>
        <v/>
      </c>
      <c r="Q99" s="3">
        <f>IF(G99="","",IF(AND(F99="SELL",E99="Equity Delivery"),Settings!$C$13,0))</f>
        <v/>
      </c>
      <c r="R99" s="3">
        <f>IF(G99="","",SUM(L99:Q99))</f>
        <v/>
      </c>
      <c r="S99" s="3">
        <f>IF(G99="","",IF(F99="BUY",-(K99+R99),K99-R99))</f>
        <v/>
      </c>
    </row>
    <row r="100">
      <c r="A100">
        <f>IF(G100="","",ROW()-1)</f>
        <v/>
      </c>
      <c r="B100" s="6" t="n"/>
      <c r="G100" s="3" t="n"/>
      <c r="H100" s="3" t="n"/>
      <c r="K100" s="3">
        <f>IF(G100="","",G100*H100)</f>
        <v/>
      </c>
      <c r="L100" s="3">
        <f>IF(G100="","",Settings!$C$5)</f>
        <v/>
      </c>
      <c r="M100" s="3">
        <f>IF(G100="","",IF(F100="SELL",K100*IF(E100="Equity Intraday",Settings!$C$8,Settings!$C$7),0))</f>
        <v/>
      </c>
      <c r="N100" s="3">
        <f>IF(G100="","",K100*(Settings!$C$9+Settings!$C$10))</f>
        <v/>
      </c>
      <c r="O100" s="3">
        <f>IF(G100="","",IF(F100="BUY",K100*Settings!$C$11,0))</f>
        <v/>
      </c>
      <c r="P100" s="3">
        <f>IF(G100="","",L100*Settings!$C$6)</f>
        <v/>
      </c>
      <c r="Q100" s="3">
        <f>IF(G100="","",IF(AND(F100="SELL",E100="Equity Delivery"),Settings!$C$13,0))</f>
        <v/>
      </c>
      <c r="R100" s="3">
        <f>IF(G100="","",SUM(L100:Q100))</f>
        <v/>
      </c>
      <c r="S100" s="3">
        <f>IF(G100="","",IF(F100="BUY",-(K100+R100),K100-R100))</f>
        <v/>
      </c>
    </row>
    <row r="101">
      <c r="A101">
        <f>IF(G101="","",ROW()-1)</f>
        <v/>
      </c>
      <c r="B101" s="6" t="n"/>
      <c r="G101" s="3" t="n"/>
      <c r="H101" s="3" t="n"/>
      <c r="K101" s="3">
        <f>IF(G101="","",G101*H101)</f>
        <v/>
      </c>
      <c r="L101" s="3">
        <f>IF(G101="","",Settings!$C$5)</f>
        <v/>
      </c>
      <c r="M101" s="3">
        <f>IF(G101="","",IF(F101="SELL",K101*IF(E101="Equity Intraday",Settings!$C$8,Settings!$C$7),0))</f>
        <v/>
      </c>
      <c r="N101" s="3">
        <f>IF(G101="","",K101*(Settings!$C$9+Settings!$C$10))</f>
        <v/>
      </c>
      <c r="O101" s="3">
        <f>IF(G101="","",IF(F101="BUY",K101*Settings!$C$11,0))</f>
        <v/>
      </c>
      <c r="P101" s="3">
        <f>IF(G101="","",L101*Settings!$C$6)</f>
        <v/>
      </c>
      <c r="Q101" s="3">
        <f>IF(G101="","",IF(AND(F101="SELL",E101="Equity Delivery"),Settings!$C$13,0))</f>
        <v/>
      </c>
      <c r="R101" s="3">
        <f>IF(G101="","",SUM(L101:Q101))</f>
        <v/>
      </c>
      <c r="S101" s="3">
        <f>IF(G101="","",IF(F101="BUY",-(K101+R101),K101-R101))</f>
        <v/>
      </c>
    </row>
    <row r="102">
      <c r="A102">
        <f>IF(G102="","",ROW()-1)</f>
        <v/>
      </c>
      <c r="B102" s="6" t="n"/>
      <c r="G102" s="3" t="n"/>
      <c r="H102" s="3" t="n"/>
      <c r="K102" s="3">
        <f>IF(G102="","",G102*H102)</f>
        <v/>
      </c>
      <c r="L102" s="3">
        <f>IF(G102="","",Settings!$C$5)</f>
        <v/>
      </c>
      <c r="M102" s="3">
        <f>IF(G102="","",IF(F102="SELL",K102*IF(E102="Equity Intraday",Settings!$C$8,Settings!$C$7),0))</f>
        <v/>
      </c>
      <c r="N102" s="3">
        <f>IF(G102="","",K102*(Settings!$C$9+Settings!$C$10))</f>
        <v/>
      </c>
      <c r="O102" s="3">
        <f>IF(G102="","",IF(F102="BUY",K102*Settings!$C$11,0))</f>
        <v/>
      </c>
      <c r="P102" s="3">
        <f>IF(G102="","",L102*Settings!$C$6)</f>
        <v/>
      </c>
      <c r="Q102" s="3">
        <f>IF(G102="","",IF(AND(F102="SELL",E102="Equity Delivery"),Settings!$C$13,0))</f>
        <v/>
      </c>
      <c r="R102" s="3">
        <f>IF(G102="","",SUM(L102:Q102))</f>
        <v/>
      </c>
      <c r="S102" s="3">
        <f>IF(G102="","",IF(F102="BUY",-(K102+R102),K102-R102))</f>
        <v/>
      </c>
    </row>
    <row r="103">
      <c r="A103">
        <f>IF(G103="","",ROW()-1)</f>
        <v/>
      </c>
      <c r="B103" s="6" t="n"/>
      <c r="G103" s="3" t="n"/>
      <c r="H103" s="3" t="n"/>
      <c r="K103" s="3">
        <f>IF(G103="","",G103*H103)</f>
        <v/>
      </c>
      <c r="L103" s="3">
        <f>IF(G103="","",Settings!$C$5)</f>
        <v/>
      </c>
      <c r="M103" s="3">
        <f>IF(G103="","",IF(F103="SELL",K103*IF(E103="Equity Intraday",Settings!$C$8,Settings!$C$7),0))</f>
        <v/>
      </c>
      <c r="N103" s="3">
        <f>IF(G103="","",K103*(Settings!$C$9+Settings!$C$10))</f>
        <v/>
      </c>
      <c r="O103" s="3">
        <f>IF(G103="","",IF(F103="BUY",K103*Settings!$C$11,0))</f>
        <v/>
      </c>
      <c r="P103" s="3">
        <f>IF(G103="","",L103*Settings!$C$6)</f>
        <v/>
      </c>
      <c r="Q103" s="3">
        <f>IF(G103="","",IF(AND(F103="SELL",E103="Equity Delivery"),Settings!$C$13,0))</f>
        <v/>
      </c>
      <c r="R103" s="3">
        <f>IF(G103="","",SUM(L103:Q103))</f>
        <v/>
      </c>
      <c r="S103" s="3">
        <f>IF(G103="","",IF(F103="BUY",-(K103+R103),K103-R103))</f>
        <v/>
      </c>
    </row>
    <row r="104">
      <c r="A104">
        <f>IF(G104="","",ROW()-1)</f>
        <v/>
      </c>
      <c r="B104" s="6" t="n"/>
      <c r="G104" s="3" t="n"/>
      <c r="H104" s="3" t="n"/>
      <c r="K104" s="3">
        <f>IF(G104="","",G104*H104)</f>
        <v/>
      </c>
      <c r="L104" s="3">
        <f>IF(G104="","",Settings!$C$5)</f>
        <v/>
      </c>
      <c r="M104" s="3">
        <f>IF(G104="","",IF(F104="SELL",K104*IF(E104="Equity Intraday",Settings!$C$8,Settings!$C$7),0))</f>
        <v/>
      </c>
      <c r="N104" s="3">
        <f>IF(G104="","",K104*(Settings!$C$9+Settings!$C$10))</f>
        <v/>
      </c>
      <c r="O104" s="3">
        <f>IF(G104="","",IF(F104="BUY",K104*Settings!$C$11,0))</f>
        <v/>
      </c>
      <c r="P104" s="3">
        <f>IF(G104="","",L104*Settings!$C$6)</f>
        <v/>
      </c>
      <c r="Q104" s="3">
        <f>IF(G104="","",IF(AND(F104="SELL",E104="Equity Delivery"),Settings!$C$13,0))</f>
        <v/>
      </c>
      <c r="R104" s="3">
        <f>IF(G104="","",SUM(L104:Q104))</f>
        <v/>
      </c>
      <c r="S104" s="3">
        <f>IF(G104="","",IF(F104="BUY",-(K104+R104),K104-R104))</f>
        <v/>
      </c>
    </row>
    <row r="105">
      <c r="A105">
        <f>IF(G105="","",ROW()-1)</f>
        <v/>
      </c>
      <c r="B105" s="6" t="n"/>
      <c r="G105" s="3" t="n"/>
      <c r="H105" s="3" t="n"/>
      <c r="K105" s="3">
        <f>IF(G105="","",G105*H105)</f>
        <v/>
      </c>
      <c r="L105" s="3">
        <f>IF(G105="","",Settings!$C$5)</f>
        <v/>
      </c>
      <c r="M105" s="3">
        <f>IF(G105="","",IF(F105="SELL",K105*IF(E105="Equity Intraday",Settings!$C$8,Settings!$C$7),0))</f>
        <v/>
      </c>
      <c r="N105" s="3">
        <f>IF(G105="","",K105*(Settings!$C$9+Settings!$C$10))</f>
        <v/>
      </c>
      <c r="O105" s="3">
        <f>IF(G105="","",IF(F105="BUY",K105*Settings!$C$11,0))</f>
        <v/>
      </c>
      <c r="P105" s="3">
        <f>IF(G105="","",L105*Settings!$C$6)</f>
        <v/>
      </c>
      <c r="Q105" s="3">
        <f>IF(G105="","",IF(AND(F105="SELL",E105="Equity Delivery"),Settings!$C$13,0))</f>
        <v/>
      </c>
      <c r="R105" s="3">
        <f>IF(G105="","",SUM(L105:Q105))</f>
        <v/>
      </c>
      <c r="S105" s="3">
        <f>IF(G105="","",IF(F105="BUY",-(K105+R105),K105-R105))</f>
        <v/>
      </c>
    </row>
    <row r="106">
      <c r="A106">
        <f>IF(G106="","",ROW()-1)</f>
        <v/>
      </c>
      <c r="B106" s="6" t="n"/>
      <c r="G106" s="3" t="n"/>
      <c r="H106" s="3" t="n"/>
      <c r="K106" s="3">
        <f>IF(G106="","",G106*H106)</f>
        <v/>
      </c>
      <c r="L106" s="3">
        <f>IF(G106="","",Settings!$C$5)</f>
        <v/>
      </c>
      <c r="M106" s="3">
        <f>IF(G106="","",IF(F106="SELL",K106*IF(E106="Equity Intraday",Settings!$C$8,Settings!$C$7),0))</f>
        <v/>
      </c>
      <c r="N106" s="3">
        <f>IF(G106="","",K106*(Settings!$C$9+Settings!$C$10))</f>
        <v/>
      </c>
      <c r="O106" s="3">
        <f>IF(G106="","",IF(F106="BUY",K106*Settings!$C$11,0))</f>
        <v/>
      </c>
      <c r="P106" s="3">
        <f>IF(G106="","",L106*Settings!$C$6)</f>
        <v/>
      </c>
      <c r="Q106" s="3">
        <f>IF(G106="","",IF(AND(F106="SELL",E106="Equity Delivery"),Settings!$C$13,0))</f>
        <v/>
      </c>
      <c r="R106" s="3">
        <f>IF(G106="","",SUM(L106:Q106))</f>
        <v/>
      </c>
      <c r="S106" s="3">
        <f>IF(G106="","",IF(F106="BUY",-(K106+R106),K106-R106))</f>
        <v/>
      </c>
    </row>
    <row r="107">
      <c r="A107">
        <f>IF(G107="","",ROW()-1)</f>
        <v/>
      </c>
      <c r="B107" s="6" t="n"/>
      <c r="G107" s="3" t="n"/>
      <c r="H107" s="3" t="n"/>
      <c r="K107" s="3">
        <f>IF(G107="","",G107*H107)</f>
        <v/>
      </c>
      <c r="L107" s="3">
        <f>IF(G107="","",Settings!$C$5)</f>
        <v/>
      </c>
      <c r="M107" s="3">
        <f>IF(G107="","",IF(F107="SELL",K107*IF(E107="Equity Intraday",Settings!$C$8,Settings!$C$7),0))</f>
        <v/>
      </c>
      <c r="N107" s="3">
        <f>IF(G107="","",K107*(Settings!$C$9+Settings!$C$10))</f>
        <v/>
      </c>
      <c r="O107" s="3">
        <f>IF(G107="","",IF(F107="BUY",K107*Settings!$C$11,0))</f>
        <v/>
      </c>
      <c r="P107" s="3">
        <f>IF(G107="","",L107*Settings!$C$6)</f>
        <v/>
      </c>
      <c r="Q107" s="3">
        <f>IF(G107="","",IF(AND(F107="SELL",E107="Equity Delivery"),Settings!$C$13,0))</f>
        <v/>
      </c>
      <c r="R107" s="3">
        <f>IF(G107="","",SUM(L107:Q107))</f>
        <v/>
      </c>
      <c r="S107" s="3">
        <f>IF(G107="","",IF(F107="BUY",-(K107+R107),K107-R107))</f>
        <v/>
      </c>
    </row>
    <row r="108">
      <c r="A108">
        <f>IF(G108="","",ROW()-1)</f>
        <v/>
      </c>
      <c r="B108" s="6" t="n"/>
      <c r="G108" s="3" t="n"/>
      <c r="H108" s="3" t="n"/>
      <c r="K108" s="3">
        <f>IF(G108="","",G108*H108)</f>
        <v/>
      </c>
      <c r="L108" s="3">
        <f>IF(G108="","",Settings!$C$5)</f>
        <v/>
      </c>
      <c r="M108" s="3">
        <f>IF(G108="","",IF(F108="SELL",K108*IF(E108="Equity Intraday",Settings!$C$8,Settings!$C$7),0))</f>
        <v/>
      </c>
      <c r="N108" s="3">
        <f>IF(G108="","",K108*(Settings!$C$9+Settings!$C$10))</f>
        <v/>
      </c>
      <c r="O108" s="3">
        <f>IF(G108="","",IF(F108="BUY",K108*Settings!$C$11,0))</f>
        <v/>
      </c>
      <c r="P108" s="3">
        <f>IF(G108="","",L108*Settings!$C$6)</f>
        <v/>
      </c>
      <c r="Q108" s="3">
        <f>IF(G108="","",IF(AND(F108="SELL",E108="Equity Delivery"),Settings!$C$13,0))</f>
        <v/>
      </c>
      <c r="R108" s="3">
        <f>IF(G108="","",SUM(L108:Q108))</f>
        <v/>
      </c>
      <c r="S108" s="3">
        <f>IF(G108="","",IF(F108="BUY",-(K108+R108),K108-R108))</f>
        <v/>
      </c>
    </row>
    <row r="109">
      <c r="A109">
        <f>IF(G109="","",ROW()-1)</f>
        <v/>
      </c>
      <c r="B109" s="6" t="n"/>
      <c r="G109" s="3" t="n"/>
      <c r="H109" s="3" t="n"/>
      <c r="K109" s="3">
        <f>IF(G109="","",G109*H109)</f>
        <v/>
      </c>
      <c r="L109" s="3">
        <f>IF(G109="","",Settings!$C$5)</f>
        <v/>
      </c>
      <c r="M109" s="3">
        <f>IF(G109="","",IF(F109="SELL",K109*IF(E109="Equity Intraday",Settings!$C$8,Settings!$C$7),0))</f>
        <v/>
      </c>
      <c r="N109" s="3">
        <f>IF(G109="","",K109*(Settings!$C$9+Settings!$C$10))</f>
        <v/>
      </c>
      <c r="O109" s="3">
        <f>IF(G109="","",IF(F109="BUY",K109*Settings!$C$11,0))</f>
        <v/>
      </c>
      <c r="P109" s="3">
        <f>IF(G109="","",L109*Settings!$C$6)</f>
        <v/>
      </c>
      <c r="Q109" s="3">
        <f>IF(G109="","",IF(AND(F109="SELL",E109="Equity Delivery"),Settings!$C$13,0))</f>
        <v/>
      </c>
      <c r="R109" s="3">
        <f>IF(G109="","",SUM(L109:Q109))</f>
        <v/>
      </c>
      <c r="S109" s="3">
        <f>IF(G109="","",IF(F109="BUY",-(K109+R109),K109-R109))</f>
        <v/>
      </c>
    </row>
    <row r="110">
      <c r="A110">
        <f>IF(G110="","",ROW()-1)</f>
        <v/>
      </c>
      <c r="B110" s="6" t="n"/>
      <c r="G110" s="3" t="n"/>
      <c r="H110" s="3" t="n"/>
      <c r="K110" s="3">
        <f>IF(G110="","",G110*H110)</f>
        <v/>
      </c>
      <c r="L110" s="3">
        <f>IF(G110="","",Settings!$C$5)</f>
        <v/>
      </c>
      <c r="M110" s="3">
        <f>IF(G110="","",IF(F110="SELL",K110*IF(E110="Equity Intraday",Settings!$C$8,Settings!$C$7),0))</f>
        <v/>
      </c>
      <c r="N110" s="3">
        <f>IF(G110="","",K110*(Settings!$C$9+Settings!$C$10))</f>
        <v/>
      </c>
      <c r="O110" s="3">
        <f>IF(G110="","",IF(F110="BUY",K110*Settings!$C$11,0))</f>
        <v/>
      </c>
      <c r="P110" s="3">
        <f>IF(G110="","",L110*Settings!$C$6)</f>
        <v/>
      </c>
      <c r="Q110" s="3">
        <f>IF(G110="","",IF(AND(F110="SELL",E110="Equity Delivery"),Settings!$C$13,0))</f>
        <v/>
      </c>
      <c r="R110" s="3">
        <f>IF(G110="","",SUM(L110:Q110))</f>
        <v/>
      </c>
      <c r="S110" s="3">
        <f>IF(G110="","",IF(F110="BUY",-(K110+R110),K110-R110))</f>
        <v/>
      </c>
    </row>
    <row r="111">
      <c r="A111">
        <f>IF(G111="","",ROW()-1)</f>
        <v/>
      </c>
      <c r="B111" s="6" t="n"/>
      <c r="G111" s="3" t="n"/>
      <c r="H111" s="3" t="n"/>
      <c r="K111" s="3">
        <f>IF(G111="","",G111*H111)</f>
        <v/>
      </c>
      <c r="L111" s="3">
        <f>IF(G111="","",Settings!$C$5)</f>
        <v/>
      </c>
      <c r="M111" s="3">
        <f>IF(G111="","",IF(F111="SELL",K111*IF(E111="Equity Intraday",Settings!$C$8,Settings!$C$7),0))</f>
        <v/>
      </c>
      <c r="N111" s="3">
        <f>IF(G111="","",K111*(Settings!$C$9+Settings!$C$10))</f>
        <v/>
      </c>
      <c r="O111" s="3">
        <f>IF(G111="","",IF(F111="BUY",K111*Settings!$C$11,0))</f>
        <v/>
      </c>
      <c r="P111" s="3">
        <f>IF(G111="","",L111*Settings!$C$6)</f>
        <v/>
      </c>
      <c r="Q111" s="3">
        <f>IF(G111="","",IF(AND(F111="SELL",E111="Equity Delivery"),Settings!$C$13,0))</f>
        <v/>
      </c>
      <c r="R111" s="3">
        <f>IF(G111="","",SUM(L111:Q111))</f>
        <v/>
      </c>
      <c r="S111" s="3">
        <f>IF(G111="","",IF(F111="BUY",-(K111+R111),K111-R111))</f>
        <v/>
      </c>
    </row>
    <row r="112">
      <c r="A112">
        <f>IF(G112="","",ROW()-1)</f>
        <v/>
      </c>
      <c r="B112" s="6" t="n"/>
      <c r="G112" s="3" t="n"/>
      <c r="H112" s="3" t="n"/>
      <c r="K112" s="3">
        <f>IF(G112="","",G112*H112)</f>
        <v/>
      </c>
      <c r="L112" s="3">
        <f>IF(G112="","",Settings!$C$5)</f>
        <v/>
      </c>
      <c r="M112" s="3">
        <f>IF(G112="","",IF(F112="SELL",K112*IF(E112="Equity Intraday",Settings!$C$8,Settings!$C$7),0))</f>
        <v/>
      </c>
      <c r="N112" s="3">
        <f>IF(G112="","",K112*(Settings!$C$9+Settings!$C$10))</f>
        <v/>
      </c>
      <c r="O112" s="3">
        <f>IF(G112="","",IF(F112="BUY",K112*Settings!$C$11,0))</f>
        <v/>
      </c>
      <c r="P112" s="3">
        <f>IF(G112="","",L112*Settings!$C$6)</f>
        <v/>
      </c>
      <c r="Q112" s="3">
        <f>IF(G112="","",IF(AND(F112="SELL",E112="Equity Delivery"),Settings!$C$13,0))</f>
        <v/>
      </c>
      <c r="R112" s="3">
        <f>IF(G112="","",SUM(L112:Q112))</f>
        <v/>
      </c>
      <c r="S112" s="3">
        <f>IF(G112="","",IF(F112="BUY",-(K112+R112),K112-R112))</f>
        <v/>
      </c>
    </row>
    <row r="113">
      <c r="A113">
        <f>IF(G113="","",ROW()-1)</f>
        <v/>
      </c>
      <c r="B113" s="6" t="n"/>
      <c r="G113" s="3" t="n"/>
      <c r="H113" s="3" t="n"/>
      <c r="K113" s="3">
        <f>IF(G113="","",G113*H113)</f>
        <v/>
      </c>
      <c r="L113" s="3">
        <f>IF(G113="","",Settings!$C$5)</f>
        <v/>
      </c>
      <c r="M113" s="3">
        <f>IF(G113="","",IF(F113="SELL",K113*IF(E113="Equity Intraday",Settings!$C$8,Settings!$C$7),0))</f>
        <v/>
      </c>
      <c r="N113" s="3">
        <f>IF(G113="","",K113*(Settings!$C$9+Settings!$C$10))</f>
        <v/>
      </c>
      <c r="O113" s="3">
        <f>IF(G113="","",IF(F113="BUY",K113*Settings!$C$11,0))</f>
        <v/>
      </c>
      <c r="P113" s="3">
        <f>IF(G113="","",L113*Settings!$C$6)</f>
        <v/>
      </c>
      <c r="Q113" s="3">
        <f>IF(G113="","",IF(AND(F113="SELL",E113="Equity Delivery"),Settings!$C$13,0))</f>
        <v/>
      </c>
      <c r="R113" s="3">
        <f>IF(G113="","",SUM(L113:Q113))</f>
        <v/>
      </c>
      <c r="S113" s="3">
        <f>IF(G113="","",IF(F113="BUY",-(K113+R113),K113-R113))</f>
        <v/>
      </c>
    </row>
    <row r="114">
      <c r="A114">
        <f>IF(G114="","",ROW()-1)</f>
        <v/>
      </c>
      <c r="B114" s="6" t="n"/>
      <c r="G114" s="3" t="n"/>
      <c r="H114" s="3" t="n"/>
      <c r="K114" s="3">
        <f>IF(G114="","",G114*H114)</f>
        <v/>
      </c>
      <c r="L114" s="3">
        <f>IF(G114="","",Settings!$C$5)</f>
        <v/>
      </c>
      <c r="M114" s="3">
        <f>IF(G114="","",IF(F114="SELL",K114*IF(E114="Equity Intraday",Settings!$C$8,Settings!$C$7),0))</f>
        <v/>
      </c>
      <c r="N114" s="3">
        <f>IF(G114="","",K114*(Settings!$C$9+Settings!$C$10))</f>
        <v/>
      </c>
      <c r="O114" s="3">
        <f>IF(G114="","",IF(F114="BUY",K114*Settings!$C$11,0))</f>
        <v/>
      </c>
      <c r="P114" s="3">
        <f>IF(G114="","",L114*Settings!$C$6)</f>
        <v/>
      </c>
      <c r="Q114" s="3">
        <f>IF(G114="","",IF(AND(F114="SELL",E114="Equity Delivery"),Settings!$C$13,0))</f>
        <v/>
      </c>
      <c r="R114" s="3">
        <f>IF(G114="","",SUM(L114:Q114))</f>
        <v/>
      </c>
      <c r="S114" s="3">
        <f>IF(G114="","",IF(F114="BUY",-(K114+R114),K114-R114))</f>
        <v/>
      </c>
    </row>
    <row r="115">
      <c r="A115">
        <f>IF(G115="","",ROW()-1)</f>
        <v/>
      </c>
      <c r="B115" s="6" t="n"/>
      <c r="G115" s="3" t="n"/>
      <c r="H115" s="3" t="n"/>
      <c r="K115" s="3">
        <f>IF(G115="","",G115*H115)</f>
        <v/>
      </c>
      <c r="L115" s="3">
        <f>IF(G115="","",Settings!$C$5)</f>
        <v/>
      </c>
      <c r="M115" s="3">
        <f>IF(G115="","",IF(F115="SELL",K115*IF(E115="Equity Intraday",Settings!$C$8,Settings!$C$7),0))</f>
        <v/>
      </c>
      <c r="N115" s="3">
        <f>IF(G115="","",K115*(Settings!$C$9+Settings!$C$10))</f>
        <v/>
      </c>
      <c r="O115" s="3">
        <f>IF(G115="","",IF(F115="BUY",K115*Settings!$C$11,0))</f>
        <v/>
      </c>
      <c r="P115" s="3">
        <f>IF(G115="","",L115*Settings!$C$6)</f>
        <v/>
      </c>
      <c r="Q115" s="3">
        <f>IF(G115="","",IF(AND(F115="SELL",E115="Equity Delivery"),Settings!$C$13,0))</f>
        <v/>
      </c>
      <c r="R115" s="3">
        <f>IF(G115="","",SUM(L115:Q115))</f>
        <v/>
      </c>
      <c r="S115" s="3">
        <f>IF(G115="","",IF(F115="BUY",-(K115+R115),K115-R115))</f>
        <v/>
      </c>
    </row>
    <row r="116">
      <c r="A116">
        <f>IF(G116="","",ROW()-1)</f>
        <v/>
      </c>
      <c r="B116" s="6" t="n"/>
      <c r="G116" s="3" t="n"/>
      <c r="H116" s="3" t="n"/>
      <c r="K116" s="3">
        <f>IF(G116="","",G116*H116)</f>
        <v/>
      </c>
      <c r="L116" s="3">
        <f>IF(G116="","",Settings!$C$5)</f>
        <v/>
      </c>
      <c r="M116" s="3">
        <f>IF(G116="","",IF(F116="SELL",K116*IF(E116="Equity Intraday",Settings!$C$8,Settings!$C$7),0))</f>
        <v/>
      </c>
      <c r="N116" s="3">
        <f>IF(G116="","",K116*(Settings!$C$9+Settings!$C$10))</f>
        <v/>
      </c>
      <c r="O116" s="3">
        <f>IF(G116="","",IF(F116="BUY",K116*Settings!$C$11,0))</f>
        <v/>
      </c>
      <c r="P116" s="3">
        <f>IF(G116="","",L116*Settings!$C$6)</f>
        <v/>
      </c>
      <c r="Q116" s="3">
        <f>IF(G116="","",IF(AND(F116="SELL",E116="Equity Delivery"),Settings!$C$13,0))</f>
        <v/>
      </c>
      <c r="R116" s="3">
        <f>IF(G116="","",SUM(L116:Q116))</f>
        <v/>
      </c>
      <c r="S116" s="3">
        <f>IF(G116="","",IF(F116="BUY",-(K116+R116),K116-R116))</f>
        <v/>
      </c>
    </row>
    <row r="117">
      <c r="A117">
        <f>IF(G117="","",ROW()-1)</f>
        <v/>
      </c>
      <c r="B117" s="6" t="n"/>
      <c r="G117" s="3" t="n"/>
      <c r="H117" s="3" t="n"/>
      <c r="K117" s="3">
        <f>IF(G117="","",G117*H117)</f>
        <v/>
      </c>
      <c r="L117" s="3">
        <f>IF(G117="","",Settings!$C$5)</f>
        <v/>
      </c>
      <c r="M117" s="3">
        <f>IF(G117="","",IF(F117="SELL",K117*IF(E117="Equity Intraday",Settings!$C$8,Settings!$C$7),0))</f>
        <v/>
      </c>
      <c r="N117" s="3">
        <f>IF(G117="","",K117*(Settings!$C$9+Settings!$C$10))</f>
        <v/>
      </c>
      <c r="O117" s="3">
        <f>IF(G117="","",IF(F117="BUY",K117*Settings!$C$11,0))</f>
        <v/>
      </c>
      <c r="P117" s="3">
        <f>IF(G117="","",L117*Settings!$C$6)</f>
        <v/>
      </c>
      <c r="Q117" s="3">
        <f>IF(G117="","",IF(AND(F117="SELL",E117="Equity Delivery"),Settings!$C$13,0))</f>
        <v/>
      </c>
      <c r="R117" s="3">
        <f>IF(G117="","",SUM(L117:Q117))</f>
        <v/>
      </c>
      <c r="S117" s="3">
        <f>IF(G117="","",IF(F117="BUY",-(K117+R117),K117-R117))</f>
        <v/>
      </c>
    </row>
    <row r="118">
      <c r="A118">
        <f>IF(G118="","",ROW()-1)</f>
        <v/>
      </c>
      <c r="B118" s="6" t="n"/>
      <c r="G118" s="3" t="n"/>
      <c r="H118" s="3" t="n"/>
      <c r="K118" s="3">
        <f>IF(G118="","",G118*H118)</f>
        <v/>
      </c>
      <c r="L118" s="3">
        <f>IF(G118="","",Settings!$C$5)</f>
        <v/>
      </c>
      <c r="M118" s="3">
        <f>IF(G118="","",IF(F118="SELL",K118*IF(E118="Equity Intraday",Settings!$C$8,Settings!$C$7),0))</f>
        <v/>
      </c>
      <c r="N118" s="3">
        <f>IF(G118="","",K118*(Settings!$C$9+Settings!$C$10))</f>
        <v/>
      </c>
      <c r="O118" s="3">
        <f>IF(G118="","",IF(F118="BUY",K118*Settings!$C$11,0))</f>
        <v/>
      </c>
      <c r="P118" s="3">
        <f>IF(G118="","",L118*Settings!$C$6)</f>
        <v/>
      </c>
      <c r="Q118" s="3">
        <f>IF(G118="","",IF(AND(F118="SELL",E118="Equity Delivery"),Settings!$C$13,0))</f>
        <v/>
      </c>
      <c r="R118" s="3">
        <f>IF(G118="","",SUM(L118:Q118))</f>
        <v/>
      </c>
      <c r="S118" s="3">
        <f>IF(G118="","",IF(F118="BUY",-(K118+R118),K118-R118))</f>
        <v/>
      </c>
    </row>
    <row r="119">
      <c r="A119">
        <f>IF(G119="","",ROW()-1)</f>
        <v/>
      </c>
      <c r="B119" s="6" t="n"/>
      <c r="G119" s="3" t="n"/>
      <c r="H119" s="3" t="n"/>
      <c r="K119" s="3">
        <f>IF(G119="","",G119*H119)</f>
        <v/>
      </c>
      <c r="L119" s="3">
        <f>IF(G119="","",Settings!$C$5)</f>
        <v/>
      </c>
      <c r="M119" s="3">
        <f>IF(G119="","",IF(F119="SELL",K119*IF(E119="Equity Intraday",Settings!$C$8,Settings!$C$7),0))</f>
        <v/>
      </c>
      <c r="N119" s="3">
        <f>IF(G119="","",K119*(Settings!$C$9+Settings!$C$10))</f>
        <v/>
      </c>
      <c r="O119" s="3">
        <f>IF(G119="","",IF(F119="BUY",K119*Settings!$C$11,0))</f>
        <v/>
      </c>
      <c r="P119" s="3">
        <f>IF(G119="","",L119*Settings!$C$6)</f>
        <v/>
      </c>
      <c r="Q119" s="3">
        <f>IF(G119="","",IF(AND(F119="SELL",E119="Equity Delivery"),Settings!$C$13,0))</f>
        <v/>
      </c>
      <c r="R119" s="3">
        <f>IF(G119="","",SUM(L119:Q119))</f>
        <v/>
      </c>
      <c r="S119" s="3">
        <f>IF(G119="","",IF(F119="BUY",-(K119+R119),K119-R119))</f>
        <v/>
      </c>
    </row>
    <row r="120">
      <c r="A120">
        <f>IF(G120="","",ROW()-1)</f>
        <v/>
      </c>
      <c r="B120" s="6" t="n"/>
      <c r="G120" s="3" t="n"/>
      <c r="H120" s="3" t="n"/>
      <c r="K120" s="3">
        <f>IF(G120="","",G120*H120)</f>
        <v/>
      </c>
      <c r="L120" s="3">
        <f>IF(G120="","",Settings!$C$5)</f>
        <v/>
      </c>
      <c r="M120" s="3">
        <f>IF(G120="","",IF(F120="SELL",K120*IF(E120="Equity Intraday",Settings!$C$8,Settings!$C$7),0))</f>
        <v/>
      </c>
      <c r="N120" s="3">
        <f>IF(G120="","",K120*(Settings!$C$9+Settings!$C$10))</f>
        <v/>
      </c>
      <c r="O120" s="3">
        <f>IF(G120="","",IF(F120="BUY",K120*Settings!$C$11,0))</f>
        <v/>
      </c>
      <c r="P120" s="3">
        <f>IF(G120="","",L120*Settings!$C$6)</f>
        <v/>
      </c>
      <c r="Q120" s="3">
        <f>IF(G120="","",IF(AND(F120="SELL",E120="Equity Delivery"),Settings!$C$13,0))</f>
        <v/>
      </c>
      <c r="R120" s="3">
        <f>IF(G120="","",SUM(L120:Q120))</f>
        <v/>
      </c>
      <c r="S120" s="3">
        <f>IF(G120="","",IF(F120="BUY",-(K120+R120),K120-R120))</f>
        <v/>
      </c>
    </row>
    <row r="121">
      <c r="A121">
        <f>IF(G121="","",ROW()-1)</f>
        <v/>
      </c>
      <c r="B121" s="6" t="n"/>
      <c r="G121" s="3" t="n"/>
      <c r="H121" s="3" t="n"/>
      <c r="K121" s="3">
        <f>IF(G121="","",G121*H121)</f>
        <v/>
      </c>
      <c r="L121" s="3">
        <f>IF(G121="","",Settings!$C$5)</f>
        <v/>
      </c>
      <c r="M121" s="3">
        <f>IF(G121="","",IF(F121="SELL",K121*IF(E121="Equity Intraday",Settings!$C$8,Settings!$C$7),0))</f>
        <v/>
      </c>
      <c r="N121" s="3">
        <f>IF(G121="","",K121*(Settings!$C$9+Settings!$C$10))</f>
        <v/>
      </c>
      <c r="O121" s="3">
        <f>IF(G121="","",IF(F121="BUY",K121*Settings!$C$11,0))</f>
        <v/>
      </c>
      <c r="P121" s="3">
        <f>IF(G121="","",L121*Settings!$C$6)</f>
        <v/>
      </c>
      <c r="Q121" s="3">
        <f>IF(G121="","",IF(AND(F121="SELL",E121="Equity Delivery"),Settings!$C$13,0))</f>
        <v/>
      </c>
      <c r="R121" s="3">
        <f>IF(G121="","",SUM(L121:Q121))</f>
        <v/>
      </c>
      <c r="S121" s="3">
        <f>IF(G121="","",IF(F121="BUY",-(K121+R121),K121-R121))</f>
        <v/>
      </c>
    </row>
    <row r="122">
      <c r="A122">
        <f>IF(G122="","",ROW()-1)</f>
        <v/>
      </c>
      <c r="B122" s="6" t="n"/>
      <c r="G122" s="3" t="n"/>
      <c r="H122" s="3" t="n"/>
      <c r="K122" s="3">
        <f>IF(G122="","",G122*H122)</f>
        <v/>
      </c>
      <c r="L122" s="3">
        <f>IF(G122="","",Settings!$C$5)</f>
        <v/>
      </c>
      <c r="M122" s="3">
        <f>IF(G122="","",IF(F122="SELL",K122*IF(E122="Equity Intraday",Settings!$C$8,Settings!$C$7),0))</f>
        <v/>
      </c>
      <c r="N122" s="3">
        <f>IF(G122="","",K122*(Settings!$C$9+Settings!$C$10))</f>
        <v/>
      </c>
      <c r="O122" s="3">
        <f>IF(G122="","",IF(F122="BUY",K122*Settings!$C$11,0))</f>
        <v/>
      </c>
      <c r="P122" s="3">
        <f>IF(G122="","",L122*Settings!$C$6)</f>
        <v/>
      </c>
      <c r="Q122" s="3">
        <f>IF(G122="","",IF(AND(F122="SELL",E122="Equity Delivery"),Settings!$C$13,0))</f>
        <v/>
      </c>
      <c r="R122" s="3">
        <f>IF(G122="","",SUM(L122:Q122))</f>
        <v/>
      </c>
      <c r="S122" s="3">
        <f>IF(G122="","",IF(F122="BUY",-(K122+R122),K122-R122))</f>
        <v/>
      </c>
    </row>
    <row r="123">
      <c r="A123">
        <f>IF(G123="","",ROW()-1)</f>
        <v/>
      </c>
      <c r="B123" s="6" t="n"/>
      <c r="G123" s="3" t="n"/>
      <c r="H123" s="3" t="n"/>
      <c r="K123" s="3">
        <f>IF(G123="","",G123*H123)</f>
        <v/>
      </c>
      <c r="L123" s="3">
        <f>IF(G123="","",Settings!$C$5)</f>
        <v/>
      </c>
      <c r="M123" s="3">
        <f>IF(G123="","",IF(F123="SELL",K123*IF(E123="Equity Intraday",Settings!$C$8,Settings!$C$7),0))</f>
        <v/>
      </c>
      <c r="N123" s="3">
        <f>IF(G123="","",K123*(Settings!$C$9+Settings!$C$10))</f>
        <v/>
      </c>
      <c r="O123" s="3">
        <f>IF(G123="","",IF(F123="BUY",K123*Settings!$C$11,0))</f>
        <v/>
      </c>
      <c r="P123" s="3">
        <f>IF(G123="","",L123*Settings!$C$6)</f>
        <v/>
      </c>
      <c r="Q123" s="3">
        <f>IF(G123="","",IF(AND(F123="SELL",E123="Equity Delivery"),Settings!$C$13,0))</f>
        <v/>
      </c>
      <c r="R123" s="3">
        <f>IF(G123="","",SUM(L123:Q123))</f>
        <v/>
      </c>
      <c r="S123" s="3">
        <f>IF(G123="","",IF(F123="BUY",-(K123+R123),K123-R123))</f>
        <v/>
      </c>
    </row>
    <row r="124">
      <c r="A124">
        <f>IF(G124="","",ROW()-1)</f>
        <v/>
      </c>
      <c r="B124" s="6" t="n"/>
      <c r="G124" s="3" t="n"/>
      <c r="H124" s="3" t="n"/>
      <c r="K124" s="3">
        <f>IF(G124="","",G124*H124)</f>
        <v/>
      </c>
      <c r="L124" s="3">
        <f>IF(G124="","",Settings!$C$5)</f>
        <v/>
      </c>
      <c r="M124" s="3">
        <f>IF(G124="","",IF(F124="SELL",K124*IF(E124="Equity Intraday",Settings!$C$8,Settings!$C$7),0))</f>
        <v/>
      </c>
      <c r="N124" s="3">
        <f>IF(G124="","",K124*(Settings!$C$9+Settings!$C$10))</f>
        <v/>
      </c>
      <c r="O124" s="3">
        <f>IF(G124="","",IF(F124="BUY",K124*Settings!$C$11,0))</f>
        <v/>
      </c>
      <c r="P124" s="3">
        <f>IF(G124="","",L124*Settings!$C$6)</f>
        <v/>
      </c>
      <c r="Q124" s="3">
        <f>IF(G124="","",IF(AND(F124="SELL",E124="Equity Delivery"),Settings!$C$13,0))</f>
        <v/>
      </c>
      <c r="R124" s="3">
        <f>IF(G124="","",SUM(L124:Q124))</f>
        <v/>
      </c>
      <c r="S124" s="3">
        <f>IF(G124="","",IF(F124="BUY",-(K124+R124),K124-R124))</f>
        <v/>
      </c>
    </row>
    <row r="125">
      <c r="A125">
        <f>IF(G125="","",ROW()-1)</f>
        <v/>
      </c>
      <c r="B125" s="6" t="n"/>
      <c r="G125" s="3" t="n"/>
      <c r="H125" s="3" t="n"/>
      <c r="K125" s="3">
        <f>IF(G125="","",G125*H125)</f>
        <v/>
      </c>
      <c r="L125" s="3">
        <f>IF(G125="","",Settings!$C$5)</f>
        <v/>
      </c>
      <c r="M125" s="3">
        <f>IF(G125="","",IF(F125="SELL",K125*IF(E125="Equity Intraday",Settings!$C$8,Settings!$C$7),0))</f>
        <v/>
      </c>
      <c r="N125" s="3">
        <f>IF(G125="","",K125*(Settings!$C$9+Settings!$C$10))</f>
        <v/>
      </c>
      <c r="O125" s="3">
        <f>IF(G125="","",IF(F125="BUY",K125*Settings!$C$11,0))</f>
        <v/>
      </c>
      <c r="P125" s="3">
        <f>IF(G125="","",L125*Settings!$C$6)</f>
        <v/>
      </c>
      <c r="Q125" s="3">
        <f>IF(G125="","",IF(AND(F125="SELL",E125="Equity Delivery"),Settings!$C$13,0))</f>
        <v/>
      </c>
      <c r="R125" s="3">
        <f>IF(G125="","",SUM(L125:Q125))</f>
        <v/>
      </c>
      <c r="S125" s="3">
        <f>IF(G125="","",IF(F125="BUY",-(K125+R125),K125-R125))</f>
        <v/>
      </c>
    </row>
    <row r="126">
      <c r="A126">
        <f>IF(G126="","",ROW()-1)</f>
        <v/>
      </c>
      <c r="B126" s="6" t="n"/>
      <c r="G126" s="3" t="n"/>
      <c r="H126" s="3" t="n"/>
      <c r="K126" s="3">
        <f>IF(G126="","",G126*H126)</f>
        <v/>
      </c>
      <c r="L126" s="3">
        <f>IF(G126="","",Settings!$C$5)</f>
        <v/>
      </c>
      <c r="M126" s="3">
        <f>IF(G126="","",IF(F126="SELL",K126*IF(E126="Equity Intraday",Settings!$C$8,Settings!$C$7),0))</f>
        <v/>
      </c>
      <c r="N126" s="3">
        <f>IF(G126="","",K126*(Settings!$C$9+Settings!$C$10))</f>
        <v/>
      </c>
      <c r="O126" s="3">
        <f>IF(G126="","",IF(F126="BUY",K126*Settings!$C$11,0))</f>
        <v/>
      </c>
      <c r="P126" s="3">
        <f>IF(G126="","",L126*Settings!$C$6)</f>
        <v/>
      </c>
      <c r="Q126" s="3">
        <f>IF(G126="","",IF(AND(F126="SELL",E126="Equity Delivery"),Settings!$C$13,0))</f>
        <v/>
      </c>
      <c r="R126" s="3">
        <f>IF(G126="","",SUM(L126:Q126))</f>
        <v/>
      </c>
      <c r="S126" s="3">
        <f>IF(G126="","",IF(F126="BUY",-(K126+R126),K126-R126))</f>
        <v/>
      </c>
    </row>
    <row r="127">
      <c r="A127">
        <f>IF(G127="","",ROW()-1)</f>
        <v/>
      </c>
      <c r="B127" s="6" t="n"/>
      <c r="G127" s="3" t="n"/>
      <c r="H127" s="3" t="n"/>
      <c r="K127" s="3">
        <f>IF(G127="","",G127*H127)</f>
        <v/>
      </c>
      <c r="L127" s="3">
        <f>IF(G127="","",Settings!$C$5)</f>
        <v/>
      </c>
      <c r="M127" s="3">
        <f>IF(G127="","",IF(F127="SELL",K127*IF(E127="Equity Intraday",Settings!$C$8,Settings!$C$7),0))</f>
        <v/>
      </c>
      <c r="N127" s="3">
        <f>IF(G127="","",K127*(Settings!$C$9+Settings!$C$10))</f>
        <v/>
      </c>
      <c r="O127" s="3">
        <f>IF(G127="","",IF(F127="BUY",K127*Settings!$C$11,0))</f>
        <v/>
      </c>
      <c r="P127" s="3">
        <f>IF(G127="","",L127*Settings!$C$6)</f>
        <v/>
      </c>
      <c r="Q127" s="3">
        <f>IF(G127="","",IF(AND(F127="SELL",E127="Equity Delivery"),Settings!$C$13,0))</f>
        <v/>
      </c>
      <c r="R127" s="3">
        <f>IF(G127="","",SUM(L127:Q127))</f>
        <v/>
      </c>
      <c r="S127" s="3">
        <f>IF(G127="","",IF(F127="BUY",-(K127+R127),K127-R127))</f>
        <v/>
      </c>
    </row>
    <row r="128">
      <c r="A128">
        <f>IF(G128="","",ROW()-1)</f>
        <v/>
      </c>
      <c r="B128" s="6" t="n"/>
      <c r="G128" s="3" t="n"/>
      <c r="H128" s="3" t="n"/>
      <c r="K128" s="3">
        <f>IF(G128="","",G128*H128)</f>
        <v/>
      </c>
      <c r="L128" s="3">
        <f>IF(G128="","",Settings!$C$5)</f>
        <v/>
      </c>
      <c r="M128" s="3">
        <f>IF(G128="","",IF(F128="SELL",K128*IF(E128="Equity Intraday",Settings!$C$8,Settings!$C$7),0))</f>
        <v/>
      </c>
      <c r="N128" s="3">
        <f>IF(G128="","",K128*(Settings!$C$9+Settings!$C$10))</f>
        <v/>
      </c>
      <c r="O128" s="3">
        <f>IF(G128="","",IF(F128="BUY",K128*Settings!$C$11,0))</f>
        <v/>
      </c>
      <c r="P128" s="3">
        <f>IF(G128="","",L128*Settings!$C$6)</f>
        <v/>
      </c>
      <c r="Q128" s="3">
        <f>IF(G128="","",IF(AND(F128="SELL",E128="Equity Delivery"),Settings!$C$13,0))</f>
        <v/>
      </c>
      <c r="R128" s="3">
        <f>IF(G128="","",SUM(L128:Q128))</f>
        <v/>
      </c>
      <c r="S128" s="3">
        <f>IF(G128="","",IF(F128="BUY",-(K128+R128),K128-R128))</f>
        <v/>
      </c>
    </row>
    <row r="129">
      <c r="A129">
        <f>IF(G129="","",ROW()-1)</f>
        <v/>
      </c>
      <c r="B129" s="6" t="n"/>
      <c r="G129" s="3" t="n"/>
      <c r="H129" s="3" t="n"/>
      <c r="K129" s="3">
        <f>IF(G129="","",G129*H129)</f>
        <v/>
      </c>
      <c r="L129" s="3">
        <f>IF(G129="","",Settings!$C$5)</f>
        <v/>
      </c>
      <c r="M129" s="3">
        <f>IF(G129="","",IF(F129="SELL",K129*IF(E129="Equity Intraday",Settings!$C$8,Settings!$C$7),0))</f>
        <v/>
      </c>
      <c r="N129" s="3">
        <f>IF(G129="","",K129*(Settings!$C$9+Settings!$C$10))</f>
        <v/>
      </c>
      <c r="O129" s="3">
        <f>IF(G129="","",IF(F129="BUY",K129*Settings!$C$11,0))</f>
        <v/>
      </c>
      <c r="P129" s="3">
        <f>IF(G129="","",L129*Settings!$C$6)</f>
        <v/>
      </c>
      <c r="Q129" s="3">
        <f>IF(G129="","",IF(AND(F129="SELL",E129="Equity Delivery"),Settings!$C$13,0))</f>
        <v/>
      </c>
      <c r="R129" s="3">
        <f>IF(G129="","",SUM(L129:Q129))</f>
        <v/>
      </c>
      <c r="S129" s="3">
        <f>IF(G129="","",IF(F129="BUY",-(K129+R129),K129-R129))</f>
        <v/>
      </c>
    </row>
    <row r="130">
      <c r="A130">
        <f>IF(G130="","",ROW()-1)</f>
        <v/>
      </c>
      <c r="B130" s="6" t="n"/>
      <c r="G130" s="3" t="n"/>
      <c r="H130" s="3" t="n"/>
      <c r="K130" s="3">
        <f>IF(G130="","",G130*H130)</f>
        <v/>
      </c>
      <c r="L130" s="3">
        <f>IF(G130="","",Settings!$C$5)</f>
        <v/>
      </c>
      <c r="M130" s="3">
        <f>IF(G130="","",IF(F130="SELL",K130*IF(E130="Equity Intraday",Settings!$C$8,Settings!$C$7),0))</f>
        <v/>
      </c>
      <c r="N130" s="3">
        <f>IF(G130="","",K130*(Settings!$C$9+Settings!$C$10))</f>
        <v/>
      </c>
      <c r="O130" s="3">
        <f>IF(G130="","",IF(F130="BUY",K130*Settings!$C$11,0))</f>
        <v/>
      </c>
      <c r="P130" s="3">
        <f>IF(G130="","",L130*Settings!$C$6)</f>
        <v/>
      </c>
      <c r="Q130" s="3">
        <f>IF(G130="","",IF(AND(F130="SELL",E130="Equity Delivery"),Settings!$C$13,0))</f>
        <v/>
      </c>
      <c r="R130" s="3">
        <f>IF(G130="","",SUM(L130:Q130))</f>
        <v/>
      </c>
      <c r="S130" s="3">
        <f>IF(G130="","",IF(F130="BUY",-(K130+R130),K130-R130))</f>
        <v/>
      </c>
    </row>
    <row r="131">
      <c r="A131">
        <f>IF(G131="","",ROW()-1)</f>
        <v/>
      </c>
      <c r="B131" s="6" t="n"/>
      <c r="G131" s="3" t="n"/>
      <c r="H131" s="3" t="n"/>
      <c r="K131" s="3">
        <f>IF(G131="","",G131*H131)</f>
        <v/>
      </c>
      <c r="L131" s="3">
        <f>IF(G131="","",Settings!$C$5)</f>
        <v/>
      </c>
      <c r="M131" s="3">
        <f>IF(G131="","",IF(F131="SELL",K131*IF(E131="Equity Intraday",Settings!$C$8,Settings!$C$7),0))</f>
        <v/>
      </c>
      <c r="N131" s="3">
        <f>IF(G131="","",K131*(Settings!$C$9+Settings!$C$10))</f>
        <v/>
      </c>
      <c r="O131" s="3">
        <f>IF(G131="","",IF(F131="BUY",K131*Settings!$C$11,0))</f>
        <v/>
      </c>
      <c r="P131" s="3">
        <f>IF(G131="","",L131*Settings!$C$6)</f>
        <v/>
      </c>
      <c r="Q131" s="3">
        <f>IF(G131="","",IF(AND(F131="SELL",E131="Equity Delivery"),Settings!$C$13,0))</f>
        <v/>
      </c>
      <c r="R131" s="3">
        <f>IF(G131="","",SUM(L131:Q131))</f>
        <v/>
      </c>
      <c r="S131" s="3">
        <f>IF(G131="","",IF(F131="BUY",-(K131+R131),K131-R131))</f>
        <v/>
      </c>
    </row>
    <row r="132">
      <c r="A132">
        <f>IF(G132="","",ROW()-1)</f>
        <v/>
      </c>
      <c r="B132" s="6" t="n"/>
      <c r="G132" s="3" t="n"/>
      <c r="H132" s="3" t="n"/>
      <c r="K132" s="3">
        <f>IF(G132="","",G132*H132)</f>
        <v/>
      </c>
      <c r="L132" s="3">
        <f>IF(G132="","",Settings!$C$5)</f>
        <v/>
      </c>
      <c r="M132" s="3">
        <f>IF(G132="","",IF(F132="SELL",K132*IF(E132="Equity Intraday",Settings!$C$8,Settings!$C$7),0))</f>
        <v/>
      </c>
      <c r="N132" s="3">
        <f>IF(G132="","",K132*(Settings!$C$9+Settings!$C$10))</f>
        <v/>
      </c>
      <c r="O132" s="3">
        <f>IF(G132="","",IF(F132="BUY",K132*Settings!$C$11,0))</f>
        <v/>
      </c>
      <c r="P132" s="3">
        <f>IF(G132="","",L132*Settings!$C$6)</f>
        <v/>
      </c>
      <c r="Q132" s="3">
        <f>IF(G132="","",IF(AND(F132="SELL",E132="Equity Delivery"),Settings!$C$13,0))</f>
        <v/>
      </c>
      <c r="R132" s="3">
        <f>IF(G132="","",SUM(L132:Q132))</f>
        <v/>
      </c>
      <c r="S132" s="3">
        <f>IF(G132="","",IF(F132="BUY",-(K132+R132),K132-R132))</f>
        <v/>
      </c>
    </row>
    <row r="133">
      <c r="A133">
        <f>IF(G133="","",ROW()-1)</f>
        <v/>
      </c>
      <c r="B133" s="6" t="n"/>
      <c r="G133" s="3" t="n"/>
      <c r="H133" s="3" t="n"/>
      <c r="K133" s="3">
        <f>IF(G133="","",G133*H133)</f>
        <v/>
      </c>
      <c r="L133" s="3">
        <f>IF(G133="","",Settings!$C$5)</f>
        <v/>
      </c>
      <c r="M133" s="3">
        <f>IF(G133="","",IF(F133="SELL",K133*IF(E133="Equity Intraday",Settings!$C$8,Settings!$C$7),0))</f>
        <v/>
      </c>
      <c r="N133" s="3">
        <f>IF(G133="","",K133*(Settings!$C$9+Settings!$C$10))</f>
        <v/>
      </c>
      <c r="O133" s="3">
        <f>IF(G133="","",IF(F133="BUY",K133*Settings!$C$11,0))</f>
        <v/>
      </c>
      <c r="P133" s="3">
        <f>IF(G133="","",L133*Settings!$C$6)</f>
        <v/>
      </c>
      <c r="Q133" s="3">
        <f>IF(G133="","",IF(AND(F133="SELL",E133="Equity Delivery"),Settings!$C$13,0))</f>
        <v/>
      </c>
      <c r="R133" s="3">
        <f>IF(G133="","",SUM(L133:Q133))</f>
        <v/>
      </c>
      <c r="S133" s="3">
        <f>IF(G133="","",IF(F133="BUY",-(K133+R133),K133-R133))</f>
        <v/>
      </c>
    </row>
    <row r="134">
      <c r="A134">
        <f>IF(G134="","",ROW()-1)</f>
        <v/>
      </c>
      <c r="B134" s="6" t="n"/>
      <c r="G134" s="3" t="n"/>
      <c r="H134" s="3" t="n"/>
      <c r="K134" s="3">
        <f>IF(G134="","",G134*H134)</f>
        <v/>
      </c>
      <c r="L134" s="3">
        <f>IF(G134="","",Settings!$C$5)</f>
        <v/>
      </c>
      <c r="M134" s="3">
        <f>IF(G134="","",IF(F134="SELL",K134*IF(E134="Equity Intraday",Settings!$C$8,Settings!$C$7),0))</f>
        <v/>
      </c>
      <c r="N134" s="3">
        <f>IF(G134="","",K134*(Settings!$C$9+Settings!$C$10))</f>
        <v/>
      </c>
      <c r="O134" s="3">
        <f>IF(G134="","",IF(F134="BUY",K134*Settings!$C$11,0))</f>
        <v/>
      </c>
      <c r="P134" s="3">
        <f>IF(G134="","",L134*Settings!$C$6)</f>
        <v/>
      </c>
      <c r="Q134" s="3">
        <f>IF(G134="","",IF(AND(F134="SELL",E134="Equity Delivery"),Settings!$C$13,0))</f>
        <v/>
      </c>
      <c r="R134" s="3">
        <f>IF(G134="","",SUM(L134:Q134))</f>
        <v/>
      </c>
      <c r="S134" s="3">
        <f>IF(G134="","",IF(F134="BUY",-(K134+R134),K134-R134))</f>
        <v/>
      </c>
    </row>
    <row r="135">
      <c r="A135">
        <f>IF(G135="","",ROW()-1)</f>
        <v/>
      </c>
      <c r="B135" s="6" t="n"/>
      <c r="G135" s="3" t="n"/>
      <c r="H135" s="3" t="n"/>
      <c r="K135" s="3">
        <f>IF(G135="","",G135*H135)</f>
        <v/>
      </c>
      <c r="L135" s="3">
        <f>IF(G135="","",Settings!$C$5)</f>
        <v/>
      </c>
      <c r="M135" s="3">
        <f>IF(G135="","",IF(F135="SELL",K135*IF(E135="Equity Intraday",Settings!$C$8,Settings!$C$7),0))</f>
        <v/>
      </c>
      <c r="N135" s="3">
        <f>IF(G135="","",K135*(Settings!$C$9+Settings!$C$10))</f>
        <v/>
      </c>
      <c r="O135" s="3">
        <f>IF(G135="","",IF(F135="BUY",K135*Settings!$C$11,0))</f>
        <v/>
      </c>
      <c r="P135" s="3">
        <f>IF(G135="","",L135*Settings!$C$6)</f>
        <v/>
      </c>
      <c r="Q135" s="3">
        <f>IF(G135="","",IF(AND(F135="SELL",E135="Equity Delivery"),Settings!$C$13,0))</f>
        <v/>
      </c>
      <c r="R135" s="3">
        <f>IF(G135="","",SUM(L135:Q135))</f>
        <v/>
      </c>
      <c r="S135" s="3">
        <f>IF(G135="","",IF(F135="BUY",-(K135+R135),K135-R135))</f>
        <v/>
      </c>
    </row>
    <row r="136">
      <c r="A136">
        <f>IF(G136="","",ROW()-1)</f>
        <v/>
      </c>
      <c r="B136" s="6" t="n"/>
      <c r="G136" s="3" t="n"/>
      <c r="H136" s="3" t="n"/>
      <c r="K136" s="3">
        <f>IF(G136="","",G136*H136)</f>
        <v/>
      </c>
      <c r="L136" s="3">
        <f>IF(G136="","",Settings!$C$5)</f>
        <v/>
      </c>
      <c r="M136" s="3">
        <f>IF(G136="","",IF(F136="SELL",K136*IF(E136="Equity Intraday",Settings!$C$8,Settings!$C$7),0))</f>
        <v/>
      </c>
      <c r="N136" s="3">
        <f>IF(G136="","",K136*(Settings!$C$9+Settings!$C$10))</f>
        <v/>
      </c>
      <c r="O136" s="3">
        <f>IF(G136="","",IF(F136="BUY",K136*Settings!$C$11,0))</f>
        <v/>
      </c>
      <c r="P136" s="3">
        <f>IF(G136="","",L136*Settings!$C$6)</f>
        <v/>
      </c>
      <c r="Q136" s="3">
        <f>IF(G136="","",IF(AND(F136="SELL",E136="Equity Delivery"),Settings!$C$13,0))</f>
        <v/>
      </c>
      <c r="R136" s="3">
        <f>IF(G136="","",SUM(L136:Q136))</f>
        <v/>
      </c>
      <c r="S136" s="3">
        <f>IF(G136="","",IF(F136="BUY",-(K136+R136),K136-R136))</f>
        <v/>
      </c>
    </row>
    <row r="137">
      <c r="A137">
        <f>IF(G137="","",ROW()-1)</f>
        <v/>
      </c>
      <c r="B137" s="6" t="n"/>
      <c r="G137" s="3" t="n"/>
      <c r="H137" s="3" t="n"/>
      <c r="K137" s="3">
        <f>IF(G137="","",G137*H137)</f>
        <v/>
      </c>
      <c r="L137" s="3">
        <f>IF(G137="","",Settings!$C$5)</f>
        <v/>
      </c>
      <c r="M137" s="3">
        <f>IF(G137="","",IF(F137="SELL",K137*IF(E137="Equity Intraday",Settings!$C$8,Settings!$C$7),0))</f>
        <v/>
      </c>
      <c r="N137" s="3">
        <f>IF(G137="","",K137*(Settings!$C$9+Settings!$C$10))</f>
        <v/>
      </c>
      <c r="O137" s="3">
        <f>IF(G137="","",IF(F137="BUY",K137*Settings!$C$11,0))</f>
        <v/>
      </c>
      <c r="P137" s="3">
        <f>IF(G137="","",L137*Settings!$C$6)</f>
        <v/>
      </c>
      <c r="Q137" s="3">
        <f>IF(G137="","",IF(AND(F137="SELL",E137="Equity Delivery"),Settings!$C$13,0))</f>
        <v/>
      </c>
      <c r="R137" s="3">
        <f>IF(G137="","",SUM(L137:Q137))</f>
        <v/>
      </c>
      <c r="S137" s="3">
        <f>IF(G137="","",IF(F137="BUY",-(K137+R137),K137-R137))</f>
        <v/>
      </c>
    </row>
    <row r="138">
      <c r="A138">
        <f>IF(G138="","",ROW()-1)</f>
        <v/>
      </c>
      <c r="B138" s="6" t="n"/>
      <c r="G138" s="3" t="n"/>
      <c r="H138" s="3" t="n"/>
      <c r="K138" s="3">
        <f>IF(G138="","",G138*H138)</f>
        <v/>
      </c>
      <c r="L138" s="3">
        <f>IF(G138="","",Settings!$C$5)</f>
        <v/>
      </c>
      <c r="M138" s="3">
        <f>IF(G138="","",IF(F138="SELL",K138*IF(E138="Equity Intraday",Settings!$C$8,Settings!$C$7),0))</f>
        <v/>
      </c>
      <c r="N138" s="3">
        <f>IF(G138="","",K138*(Settings!$C$9+Settings!$C$10))</f>
        <v/>
      </c>
      <c r="O138" s="3">
        <f>IF(G138="","",IF(F138="BUY",K138*Settings!$C$11,0))</f>
        <v/>
      </c>
      <c r="P138" s="3">
        <f>IF(G138="","",L138*Settings!$C$6)</f>
        <v/>
      </c>
      <c r="Q138" s="3">
        <f>IF(G138="","",IF(AND(F138="SELL",E138="Equity Delivery"),Settings!$C$13,0))</f>
        <v/>
      </c>
      <c r="R138" s="3">
        <f>IF(G138="","",SUM(L138:Q138))</f>
        <v/>
      </c>
      <c r="S138" s="3">
        <f>IF(G138="","",IF(F138="BUY",-(K138+R138),K138-R138))</f>
        <v/>
      </c>
    </row>
    <row r="139">
      <c r="A139">
        <f>IF(G139="","",ROW()-1)</f>
        <v/>
      </c>
      <c r="B139" s="6" t="n"/>
      <c r="G139" s="3" t="n"/>
      <c r="H139" s="3" t="n"/>
      <c r="K139" s="3">
        <f>IF(G139="","",G139*H139)</f>
        <v/>
      </c>
      <c r="L139" s="3">
        <f>IF(G139="","",Settings!$C$5)</f>
        <v/>
      </c>
      <c r="M139" s="3">
        <f>IF(G139="","",IF(F139="SELL",K139*IF(E139="Equity Intraday",Settings!$C$8,Settings!$C$7),0))</f>
        <v/>
      </c>
      <c r="N139" s="3">
        <f>IF(G139="","",K139*(Settings!$C$9+Settings!$C$10))</f>
        <v/>
      </c>
      <c r="O139" s="3">
        <f>IF(G139="","",IF(F139="BUY",K139*Settings!$C$11,0))</f>
        <v/>
      </c>
      <c r="P139" s="3">
        <f>IF(G139="","",L139*Settings!$C$6)</f>
        <v/>
      </c>
      <c r="Q139" s="3">
        <f>IF(G139="","",IF(AND(F139="SELL",E139="Equity Delivery"),Settings!$C$13,0))</f>
        <v/>
      </c>
      <c r="R139" s="3">
        <f>IF(G139="","",SUM(L139:Q139))</f>
        <v/>
      </c>
      <c r="S139" s="3">
        <f>IF(G139="","",IF(F139="BUY",-(K139+R139),K139-R139))</f>
        <v/>
      </c>
    </row>
    <row r="140">
      <c r="A140">
        <f>IF(G140="","",ROW()-1)</f>
        <v/>
      </c>
      <c r="B140" s="6" t="n"/>
      <c r="G140" s="3" t="n"/>
      <c r="H140" s="3" t="n"/>
      <c r="K140" s="3">
        <f>IF(G140="","",G140*H140)</f>
        <v/>
      </c>
      <c r="L140" s="3">
        <f>IF(G140="","",Settings!$C$5)</f>
        <v/>
      </c>
      <c r="M140" s="3">
        <f>IF(G140="","",IF(F140="SELL",K140*IF(E140="Equity Intraday",Settings!$C$8,Settings!$C$7),0))</f>
        <v/>
      </c>
      <c r="N140" s="3">
        <f>IF(G140="","",K140*(Settings!$C$9+Settings!$C$10))</f>
        <v/>
      </c>
      <c r="O140" s="3">
        <f>IF(G140="","",IF(F140="BUY",K140*Settings!$C$11,0))</f>
        <v/>
      </c>
      <c r="P140" s="3">
        <f>IF(G140="","",L140*Settings!$C$6)</f>
        <v/>
      </c>
      <c r="Q140" s="3">
        <f>IF(G140="","",IF(AND(F140="SELL",E140="Equity Delivery"),Settings!$C$13,0))</f>
        <v/>
      </c>
      <c r="R140" s="3">
        <f>IF(G140="","",SUM(L140:Q140))</f>
        <v/>
      </c>
      <c r="S140" s="3">
        <f>IF(G140="","",IF(F140="BUY",-(K140+R140),K140-R140))</f>
        <v/>
      </c>
    </row>
    <row r="141">
      <c r="A141">
        <f>IF(G141="","",ROW()-1)</f>
        <v/>
      </c>
      <c r="B141" s="6" t="n"/>
      <c r="G141" s="3" t="n"/>
      <c r="H141" s="3" t="n"/>
      <c r="K141" s="3">
        <f>IF(G141="","",G141*H141)</f>
        <v/>
      </c>
      <c r="L141" s="3">
        <f>IF(G141="","",Settings!$C$5)</f>
        <v/>
      </c>
      <c r="M141" s="3">
        <f>IF(G141="","",IF(F141="SELL",K141*IF(E141="Equity Intraday",Settings!$C$8,Settings!$C$7),0))</f>
        <v/>
      </c>
      <c r="N141" s="3">
        <f>IF(G141="","",K141*(Settings!$C$9+Settings!$C$10))</f>
        <v/>
      </c>
      <c r="O141" s="3">
        <f>IF(G141="","",IF(F141="BUY",K141*Settings!$C$11,0))</f>
        <v/>
      </c>
      <c r="P141" s="3">
        <f>IF(G141="","",L141*Settings!$C$6)</f>
        <v/>
      </c>
      <c r="Q141" s="3">
        <f>IF(G141="","",IF(AND(F141="SELL",E141="Equity Delivery"),Settings!$C$13,0))</f>
        <v/>
      </c>
      <c r="R141" s="3">
        <f>IF(G141="","",SUM(L141:Q141))</f>
        <v/>
      </c>
      <c r="S141" s="3">
        <f>IF(G141="","",IF(F141="BUY",-(K141+R141),K141-R141))</f>
        <v/>
      </c>
    </row>
    <row r="142">
      <c r="A142">
        <f>IF(G142="","",ROW()-1)</f>
        <v/>
      </c>
      <c r="B142" s="6" t="n"/>
      <c r="G142" s="3" t="n"/>
      <c r="H142" s="3" t="n"/>
      <c r="K142" s="3">
        <f>IF(G142="","",G142*H142)</f>
        <v/>
      </c>
      <c r="L142" s="3">
        <f>IF(G142="","",Settings!$C$5)</f>
        <v/>
      </c>
      <c r="M142" s="3">
        <f>IF(G142="","",IF(F142="SELL",K142*IF(E142="Equity Intraday",Settings!$C$8,Settings!$C$7),0))</f>
        <v/>
      </c>
      <c r="N142" s="3">
        <f>IF(G142="","",K142*(Settings!$C$9+Settings!$C$10))</f>
        <v/>
      </c>
      <c r="O142" s="3">
        <f>IF(G142="","",IF(F142="BUY",K142*Settings!$C$11,0))</f>
        <v/>
      </c>
      <c r="P142" s="3">
        <f>IF(G142="","",L142*Settings!$C$6)</f>
        <v/>
      </c>
      <c r="Q142" s="3">
        <f>IF(G142="","",IF(AND(F142="SELL",E142="Equity Delivery"),Settings!$C$13,0))</f>
        <v/>
      </c>
      <c r="R142" s="3">
        <f>IF(G142="","",SUM(L142:Q142))</f>
        <v/>
      </c>
      <c r="S142" s="3">
        <f>IF(G142="","",IF(F142="BUY",-(K142+R142),K142-R142))</f>
        <v/>
      </c>
    </row>
    <row r="143">
      <c r="A143">
        <f>IF(G143="","",ROW()-1)</f>
        <v/>
      </c>
      <c r="B143" s="6" t="n"/>
      <c r="G143" s="3" t="n"/>
      <c r="H143" s="3" t="n"/>
      <c r="K143" s="3">
        <f>IF(G143="","",G143*H143)</f>
        <v/>
      </c>
      <c r="L143" s="3">
        <f>IF(G143="","",Settings!$C$5)</f>
        <v/>
      </c>
      <c r="M143" s="3">
        <f>IF(G143="","",IF(F143="SELL",K143*IF(E143="Equity Intraday",Settings!$C$8,Settings!$C$7),0))</f>
        <v/>
      </c>
      <c r="N143" s="3">
        <f>IF(G143="","",K143*(Settings!$C$9+Settings!$C$10))</f>
        <v/>
      </c>
      <c r="O143" s="3">
        <f>IF(G143="","",IF(F143="BUY",K143*Settings!$C$11,0))</f>
        <v/>
      </c>
      <c r="P143" s="3">
        <f>IF(G143="","",L143*Settings!$C$6)</f>
        <v/>
      </c>
      <c r="Q143" s="3">
        <f>IF(G143="","",IF(AND(F143="SELL",E143="Equity Delivery"),Settings!$C$13,0))</f>
        <v/>
      </c>
      <c r="R143" s="3">
        <f>IF(G143="","",SUM(L143:Q143))</f>
        <v/>
      </c>
      <c r="S143" s="3">
        <f>IF(G143="","",IF(F143="BUY",-(K143+R143),K143-R143))</f>
        <v/>
      </c>
    </row>
    <row r="144">
      <c r="A144">
        <f>IF(G144="","",ROW()-1)</f>
        <v/>
      </c>
      <c r="B144" s="6" t="n"/>
      <c r="G144" s="3" t="n"/>
      <c r="H144" s="3" t="n"/>
      <c r="K144" s="3">
        <f>IF(G144="","",G144*H144)</f>
        <v/>
      </c>
      <c r="L144" s="3">
        <f>IF(G144="","",Settings!$C$5)</f>
        <v/>
      </c>
      <c r="M144" s="3">
        <f>IF(G144="","",IF(F144="SELL",K144*IF(E144="Equity Intraday",Settings!$C$8,Settings!$C$7),0))</f>
        <v/>
      </c>
      <c r="N144" s="3">
        <f>IF(G144="","",K144*(Settings!$C$9+Settings!$C$10))</f>
        <v/>
      </c>
      <c r="O144" s="3">
        <f>IF(G144="","",IF(F144="BUY",K144*Settings!$C$11,0))</f>
        <v/>
      </c>
      <c r="P144" s="3">
        <f>IF(G144="","",L144*Settings!$C$6)</f>
        <v/>
      </c>
      <c r="Q144" s="3">
        <f>IF(G144="","",IF(AND(F144="SELL",E144="Equity Delivery"),Settings!$C$13,0))</f>
        <v/>
      </c>
      <c r="R144" s="3">
        <f>IF(G144="","",SUM(L144:Q144))</f>
        <v/>
      </c>
      <c r="S144" s="3">
        <f>IF(G144="","",IF(F144="BUY",-(K144+R144),K144-R144))</f>
        <v/>
      </c>
    </row>
    <row r="145">
      <c r="A145">
        <f>IF(G145="","",ROW()-1)</f>
        <v/>
      </c>
      <c r="B145" s="6" t="n"/>
      <c r="G145" s="3" t="n"/>
      <c r="H145" s="3" t="n"/>
      <c r="K145" s="3">
        <f>IF(G145="","",G145*H145)</f>
        <v/>
      </c>
      <c r="L145" s="3">
        <f>IF(G145="","",Settings!$C$5)</f>
        <v/>
      </c>
      <c r="M145" s="3">
        <f>IF(G145="","",IF(F145="SELL",K145*IF(E145="Equity Intraday",Settings!$C$8,Settings!$C$7),0))</f>
        <v/>
      </c>
      <c r="N145" s="3">
        <f>IF(G145="","",K145*(Settings!$C$9+Settings!$C$10))</f>
        <v/>
      </c>
      <c r="O145" s="3">
        <f>IF(G145="","",IF(F145="BUY",K145*Settings!$C$11,0))</f>
        <v/>
      </c>
      <c r="P145" s="3">
        <f>IF(G145="","",L145*Settings!$C$6)</f>
        <v/>
      </c>
      <c r="Q145" s="3">
        <f>IF(G145="","",IF(AND(F145="SELL",E145="Equity Delivery"),Settings!$C$13,0))</f>
        <v/>
      </c>
      <c r="R145" s="3">
        <f>IF(G145="","",SUM(L145:Q145))</f>
        <v/>
      </c>
      <c r="S145" s="3">
        <f>IF(G145="","",IF(F145="BUY",-(K145+R145),K145-R145))</f>
        <v/>
      </c>
    </row>
    <row r="146">
      <c r="A146">
        <f>IF(G146="","",ROW()-1)</f>
        <v/>
      </c>
      <c r="B146" s="6" t="n"/>
      <c r="G146" s="3" t="n"/>
      <c r="H146" s="3" t="n"/>
      <c r="K146" s="3">
        <f>IF(G146="","",G146*H146)</f>
        <v/>
      </c>
      <c r="L146" s="3">
        <f>IF(G146="","",Settings!$C$5)</f>
        <v/>
      </c>
      <c r="M146" s="3">
        <f>IF(G146="","",IF(F146="SELL",K146*IF(E146="Equity Intraday",Settings!$C$8,Settings!$C$7),0))</f>
        <v/>
      </c>
      <c r="N146" s="3">
        <f>IF(G146="","",K146*(Settings!$C$9+Settings!$C$10))</f>
        <v/>
      </c>
      <c r="O146" s="3">
        <f>IF(G146="","",IF(F146="BUY",K146*Settings!$C$11,0))</f>
        <v/>
      </c>
      <c r="P146" s="3">
        <f>IF(G146="","",L146*Settings!$C$6)</f>
        <v/>
      </c>
      <c r="Q146" s="3">
        <f>IF(G146="","",IF(AND(F146="SELL",E146="Equity Delivery"),Settings!$C$13,0))</f>
        <v/>
      </c>
      <c r="R146" s="3">
        <f>IF(G146="","",SUM(L146:Q146))</f>
        <v/>
      </c>
      <c r="S146" s="3">
        <f>IF(G146="","",IF(F146="BUY",-(K146+R146),K146-R146))</f>
        <v/>
      </c>
    </row>
    <row r="147">
      <c r="A147">
        <f>IF(G147="","",ROW()-1)</f>
        <v/>
      </c>
      <c r="B147" s="6" t="n"/>
      <c r="G147" s="3" t="n"/>
      <c r="H147" s="3" t="n"/>
      <c r="K147" s="3">
        <f>IF(G147="","",G147*H147)</f>
        <v/>
      </c>
      <c r="L147" s="3">
        <f>IF(G147="","",Settings!$C$5)</f>
        <v/>
      </c>
      <c r="M147" s="3">
        <f>IF(G147="","",IF(F147="SELL",K147*IF(E147="Equity Intraday",Settings!$C$8,Settings!$C$7),0))</f>
        <v/>
      </c>
      <c r="N147" s="3">
        <f>IF(G147="","",K147*(Settings!$C$9+Settings!$C$10))</f>
        <v/>
      </c>
      <c r="O147" s="3">
        <f>IF(G147="","",IF(F147="BUY",K147*Settings!$C$11,0))</f>
        <v/>
      </c>
      <c r="P147" s="3">
        <f>IF(G147="","",L147*Settings!$C$6)</f>
        <v/>
      </c>
      <c r="Q147" s="3">
        <f>IF(G147="","",IF(AND(F147="SELL",E147="Equity Delivery"),Settings!$C$13,0))</f>
        <v/>
      </c>
      <c r="R147" s="3">
        <f>IF(G147="","",SUM(L147:Q147))</f>
        <v/>
      </c>
      <c r="S147" s="3">
        <f>IF(G147="","",IF(F147="BUY",-(K147+R147),K147-R147))</f>
        <v/>
      </c>
    </row>
    <row r="148">
      <c r="A148">
        <f>IF(G148="","",ROW()-1)</f>
        <v/>
      </c>
      <c r="B148" s="6" t="n"/>
      <c r="G148" s="3" t="n"/>
      <c r="H148" s="3" t="n"/>
      <c r="K148" s="3">
        <f>IF(G148="","",G148*H148)</f>
        <v/>
      </c>
      <c r="L148" s="3">
        <f>IF(G148="","",Settings!$C$5)</f>
        <v/>
      </c>
      <c r="M148" s="3">
        <f>IF(G148="","",IF(F148="SELL",K148*IF(E148="Equity Intraday",Settings!$C$8,Settings!$C$7),0))</f>
        <v/>
      </c>
      <c r="N148" s="3">
        <f>IF(G148="","",K148*(Settings!$C$9+Settings!$C$10))</f>
        <v/>
      </c>
      <c r="O148" s="3">
        <f>IF(G148="","",IF(F148="BUY",K148*Settings!$C$11,0))</f>
        <v/>
      </c>
      <c r="P148" s="3">
        <f>IF(G148="","",L148*Settings!$C$6)</f>
        <v/>
      </c>
      <c r="Q148" s="3">
        <f>IF(G148="","",IF(AND(F148="SELL",E148="Equity Delivery"),Settings!$C$13,0))</f>
        <v/>
      </c>
      <c r="R148" s="3">
        <f>IF(G148="","",SUM(L148:Q148))</f>
        <v/>
      </c>
      <c r="S148" s="3">
        <f>IF(G148="","",IF(F148="BUY",-(K148+R148),K148-R148))</f>
        <v/>
      </c>
    </row>
    <row r="149">
      <c r="A149">
        <f>IF(G149="","",ROW()-1)</f>
        <v/>
      </c>
      <c r="B149" s="6" t="n"/>
      <c r="G149" s="3" t="n"/>
      <c r="H149" s="3" t="n"/>
      <c r="K149" s="3">
        <f>IF(G149="","",G149*H149)</f>
        <v/>
      </c>
      <c r="L149" s="3">
        <f>IF(G149="","",Settings!$C$5)</f>
        <v/>
      </c>
      <c r="M149" s="3">
        <f>IF(G149="","",IF(F149="SELL",K149*IF(E149="Equity Intraday",Settings!$C$8,Settings!$C$7),0))</f>
        <v/>
      </c>
      <c r="N149" s="3">
        <f>IF(G149="","",K149*(Settings!$C$9+Settings!$C$10))</f>
        <v/>
      </c>
      <c r="O149" s="3">
        <f>IF(G149="","",IF(F149="BUY",K149*Settings!$C$11,0))</f>
        <v/>
      </c>
      <c r="P149" s="3">
        <f>IF(G149="","",L149*Settings!$C$6)</f>
        <v/>
      </c>
      <c r="Q149" s="3">
        <f>IF(G149="","",IF(AND(F149="SELL",E149="Equity Delivery"),Settings!$C$13,0))</f>
        <v/>
      </c>
      <c r="R149" s="3">
        <f>IF(G149="","",SUM(L149:Q149))</f>
        <v/>
      </c>
      <c r="S149" s="3">
        <f>IF(G149="","",IF(F149="BUY",-(K149+R149),K149-R149))</f>
        <v/>
      </c>
    </row>
    <row r="150">
      <c r="A150">
        <f>IF(G150="","",ROW()-1)</f>
        <v/>
      </c>
      <c r="B150" s="6" t="n"/>
      <c r="G150" s="3" t="n"/>
      <c r="H150" s="3" t="n"/>
      <c r="K150" s="3">
        <f>IF(G150="","",G150*H150)</f>
        <v/>
      </c>
      <c r="L150" s="3">
        <f>IF(G150="","",Settings!$C$5)</f>
        <v/>
      </c>
      <c r="M150" s="3">
        <f>IF(G150="","",IF(F150="SELL",K150*IF(E150="Equity Intraday",Settings!$C$8,Settings!$C$7),0))</f>
        <v/>
      </c>
      <c r="N150" s="3">
        <f>IF(G150="","",K150*(Settings!$C$9+Settings!$C$10))</f>
        <v/>
      </c>
      <c r="O150" s="3">
        <f>IF(G150="","",IF(F150="BUY",K150*Settings!$C$11,0))</f>
        <v/>
      </c>
      <c r="P150" s="3">
        <f>IF(G150="","",L150*Settings!$C$6)</f>
        <v/>
      </c>
      <c r="Q150" s="3">
        <f>IF(G150="","",IF(AND(F150="SELL",E150="Equity Delivery"),Settings!$C$13,0))</f>
        <v/>
      </c>
      <c r="R150" s="3">
        <f>IF(G150="","",SUM(L150:Q150))</f>
        <v/>
      </c>
      <c r="S150" s="3">
        <f>IF(G150="","",IF(F150="BUY",-(K150+R150),K150-R150))</f>
        <v/>
      </c>
    </row>
    <row r="151">
      <c r="A151">
        <f>IF(G151="","",ROW()-1)</f>
        <v/>
      </c>
      <c r="B151" s="6" t="n"/>
      <c r="G151" s="3" t="n"/>
      <c r="H151" s="3" t="n"/>
      <c r="K151" s="3">
        <f>IF(G151="","",G151*H151)</f>
        <v/>
      </c>
      <c r="L151" s="3">
        <f>IF(G151="","",Settings!$C$5)</f>
        <v/>
      </c>
      <c r="M151" s="3">
        <f>IF(G151="","",IF(F151="SELL",K151*IF(E151="Equity Intraday",Settings!$C$8,Settings!$C$7),0))</f>
        <v/>
      </c>
      <c r="N151" s="3">
        <f>IF(G151="","",K151*(Settings!$C$9+Settings!$C$10))</f>
        <v/>
      </c>
      <c r="O151" s="3">
        <f>IF(G151="","",IF(F151="BUY",K151*Settings!$C$11,0))</f>
        <v/>
      </c>
      <c r="P151" s="3">
        <f>IF(G151="","",L151*Settings!$C$6)</f>
        <v/>
      </c>
      <c r="Q151" s="3">
        <f>IF(G151="","",IF(AND(F151="SELL",E151="Equity Delivery"),Settings!$C$13,0))</f>
        <v/>
      </c>
      <c r="R151" s="3">
        <f>IF(G151="","",SUM(L151:Q151))</f>
        <v/>
      </c>
      <c r="S151" s="3">
        <f>IF(G151="","",IF(F151="BUY",-(K151+R151),K151-R151))</f>
        <v/>
      </c>
    </row>
    <row r="152">
      <c r="A152">
        <f>IF(G152="","",ROW()-1)</f>
        <v/>
      </c>
      <c r="B152" s="6" t="n"/>
      <c r="G152" s="3" t="n"/>
      <c r="H152" s="3" t="n"/>
      <c r="K152" s="3">
        <f>IF(G152="","",G152*H152)</f>
        <v/>
      </c>
      <c r="L152" s="3">
        <f>IF(G152="","",Settings!$C$5)</f>
        <v/>
      </c>
      <c r="M152" s="3">
        <f>IF(G152="","",IF(F152="SELL",K152*IF(E152="Equity Intraday",Settings!$C$8,Settings!$C$7),0))</f>
        <v/>
      </c>
      <c r="N152" s="3">
        <f>IF(G152="","",K152*(Settings!$C$9+Settings!$C$10))</f>
        <v/>
      </c>
      <c r="O152" s="3">
        <f>IF(G152="","",IF(F152="BUY",K152*Settings!$C$11,0))</f>
        <v/>
      </c>
      <c r="P152" s="3">
        <f>IF(G152="","",L152*Settings!$C$6)</f>
        <v/>
      </c>
      <c r="Q152" s="3">
        <f>IF(G152="","",IF(AND(F152="SELL",E152="Equity Delivery"),Settings!$C$13,0))</f>
        <v/>
      </c>
      <c r="R152" s="3">
        <f>IF(G152="","",SUM(L152:Q152))</f>
        <v/>
      </c>
      <c r="S152" s="3">
        <f>IF(G152="","",IF(F152="BUY",-(K152+R152),K152-R152))</f>
        <v/>
      </c>
    </row>
    <row r="153">
      <c r="A153">
        <f>IF(G153="","",ROW()-1)</f>
        <v/>
      </c>
      <c r="B153" s="6" t="n"/>
      <c r="G153" s="3" t="n"/>
      <c r="H153" s="3" t="n"/>
      <c r="K153" s="3">
        <f>IF(G153="","",G153*H153)</f>
        <v/>
      </c>
      <c r="L153" s="3">
        <f>IF(G153="","",Settings!$C$5)</f>
        <v/>
      </c>
      <c r="M153" s="3">
        <f>IF(G153="","",IF(F153="SELL",K153*IF(E153="Equity Intraday",Settings!$C$8,Settings!$C$7),0))</f>
        <v/>
      </c>
      <c r="N153" s="3">
        <f>IF(G153="","",K153*(Settings!$C$9+Settings!$C$10))</f>
        <v/>
      </c>
      <c r="O153" s="3">
        <f>IF(G153="","",IF(F153="BUY",K153*Settings!$C$11,0))</f>
        <v/>
      </c>
      <c r="P153" s="3">
        <f>IF(G153="","",L153*Settings!$C$6)</f>
        <v/>
      </c>
      <c r="Q153" s="3">
        <f>IF(G153="","",IF(AND(F153="SELL",E153="Equity Delivery"),Settings!$C$13,0))</f>
        <v/>
      </c>
      <c r="R153" s="3">
        <f>IF(G153="","",SUM(L153:Q153))</f>
        <v/>
      </c>
      <c r="S153" s="3">
        <f>IF(G153="","",IF(F153="BUY",-(K153+R153),K153-R153))</f>
        <v/>
      </c>
    </row>
    <row r="154">
      <c r="A154">
        <f>IF(G154="","",ROW()-1)</f>
        <v/>
      </c>
      <c r="B154" s="6" t="n"/>
      <c r="G154" s="3" t="n"/>
      <c r="H154" s="3" t="n"/>
      <c r="K154" s="3">
        <f>IF(G154="","",G154*H154)</f>
        <v/>
      </c>
      <c r="L154" s="3">
        <f>IF(G154="","",Settings!$C$5)</f>
        <v/>
      </c>
      <c r="M154" s="3">
        <f>IF(G154="","",IF(F154="SELL",K154*IF(E154="Equity Intraday",Settings!$C$8,Settings!$C$7),0))</f>
        <v/>
      </c>
      <c r="N154" s="3">
        <f>IF(G154="","",K154*(Settings!$C$9+Settings!$C$10))</f>
        <v/>
      </c>
      <c r="O154" s="3">
        <f>IF(G154="","",IF(F154="BUY",K154*Settings!$C$11,0))</f>
        <v/>
      </c>
      <c r="P154" s="3">
        <f>IF(G154="","",L154*Settings!$C$6)</f>
        <v/>
      </c>
      <c r="Q154" s="3">
        <f>IF(G154="","",IF(AND(F154="SELL",E154="Equity Delivery"),Settings!$C$13,0))</f>
        <v/>
      </c>
      <c r="R154" s="3">
        <f>IF(G154="","",SUM(L154:Q154))</f>
        <v/>
      </c>
      <c r="S154" s="3">
        <f>IF(G154="","",IF(F154="BUY",-(K154+R154),K154-R154))</f>
        <v/>
      </c>
    </row>
    <row r="155">
      <c r="A155">
        <f>IF(G155="","",ROW()-1)</f>
        <v/>
      </c>
      <c r="B155" s="6" t="n"/>
      <c r="G155" s="3" t="n"/>
      <c r="H155" s="3" t="n"/>
      <c r="K155" s="3">
        <f>IF(G155="","",G155*H155)</f>
        <v/>
      </c>
      <c r="L155" s="3">
        <f>IF(G155="","",Settings!$C$5)</f>
        <v/>
      </c>
      <c r="M155" s="3">
        <f>IF(G155="","",IF(F155="SELL",K155*IF(E155="Equity Intraday",Settings!$C$8,Settings!$C$7),0))</f>
        <v/>
      </c>
      <c r="N155" s="3">
        <f>IF(G155="","",K155*(Settings!$C$9+Settings!$C$10))</f>
        <v/>
      </c>
      <c r="O155" s="3">
        <f>IF(G155="","",IF(F155="BUY",K155*Settings!$C$11,0))</f>
        <v/>
      </c>
      <c r="P155" s="3">
        <f>IF(G155="","",L155*Settings!$C$6)</f>
        <v/>
      </c>
      <c r="Q155" s="3">
        <f>IF(G155="","",IF(AND(F155="SELL",E155="Equity Delivery"),Settings!$C$13,0))</f>
        <v/>
      </c>
      <c r="R155" s="3">
        <f>IF(G155="","",SUM(L155:Q155))</f>
        <v/>
      </c>
      <c r="S155" s="3">
        <f>IF(G155="","",IF(F155="BUY",-(K155+R155),K155-R155))</f>
        <v/>
      </c>
    </row>
    <row r="156">
      <c r="A156">
        <f>IF(G156="","",ROW()-1)</f>
        <v/>
      </c>
      <c r="B156" s="6" t="n"/>
      <c r="G156" s="3" t="n"/>
      <c r="H156" s="3" t="n"/>
      <c r="K156" s="3">
        <f>IF(G156="","",G156*H156)</f>
        <v/>
      </c>
      <c r="L156" s="3">
        <f>IF(G156="","",Settings!$C$5)</f>
        <v/>
      </c>
      <c r="M156" s="3">
        <f>IF(G156="","",IF(F156="SELL",K156*IF(E156="Equity Intraday",Settings!$C$8,Settings!$C$7),0))</f>
        <v/>
      </c>
      <c r="N156" s="3">
        <f>IF(G156="","",K156*(Settings!$C$9+Settings!$C$10))</f>
        <v/>
      </c>
      <c r="O156" s="3">
        <f>IF(G156="","",IF(F156="BUY",K156*Settings!$C$11,0))</f>
        <v/>
      </c>
      <c r="P156" s="3">
        <f>IF(G156="","",L156*Settings!$C$6)</f>
        <v/>
      </c>
      <c r="Q156" s="3">
        <f>IF(G156="","",IF(AND(F156="SELL",E156="Equity Delivery"),Settings!$C$13,0))</f>
        <v/>
      </c>
      <c r="R156" s="3">
        <f>IF(G156="","",SUM(L156:Q156))</f>
        <v/>
      </c>
      <c r="S156" s="3">
        <f>IF(G156="","",IF(F156="BUY",-(K156+R156),K156-R156))</f>
        <v/>
      </c>
    </row>
    <row r="157">
      <c r="A157">
        <f>IF(G157="","",ROW()-1)</f>
        <v/>
      </c>
      <c r="B157" s="6" t="n"/>
      <c r="G157" s="3" t="n"/>
      <c r="H157" s="3" t="n"/>
      <c r="K157" s="3">
        <f>IF(G157="","",G157*H157)</f>
        <v/>
      </c>
      <c r="L157" s="3">
        <f>IF(G157="","",Settings!$C$5)</f>
        <v/>
      </c>
      <c r="M157" s="3">
        <f>IF(G157="","",IF(F157="SELL",K157*IF(E157="Equity Intraday",Settings!$C$8,Settings!$C$7),0))</f>
        <v/>
      </c>
      <c r="N157" s="3">
        <f>IF(G157="","",K157*(Settings!$C$9+Settings!$C$10))</f>
        <v/>
      </c>
      <c r="O157" s="3">
        <f>IF(G157="","",IF(F157="BUY",K157*Settings!$C$11,0))</f>
        <v/>
      </c>
      <c r="P157" s="3">
        <f>IF(G157="","",L157*Settings!$C$6)</f>
        <v/>
      </c>
      <c r="Q157" s="3">
        <f>IF(G157="","",IF(AND(F157="SELL",E157="Equity Delivery"),Settings!$C$13,0))</f>
        <v/>
      </c>
      <c r="R157" s="3">
        <f>IF(G157="","",SUM(L157:Q157))</f>
        <v/>
      </c>
      <c r="S157" s="3">
        <f>IF(G157="","",IF(F157="BUY",-(K157+R157),K157-R157))</f>
        <v/>
      </c>
    </row>
    <row r="158">
      <c r="A158">
        <f>IF(G158="","",ROW()-1)</f>
        <v/>
      </c>
      <c r="B158" s="6" t="n"/>
      <c r="G158" s="3" t="n"/>
      <c r="H158" s="3" t="n"/>
      <c r="K158" s="3">
        <f>IF(G158="","",G158*H158)</f>
        <v/>
      </c>
      <c r="L158" s="3">
        <f>IF(G158="","",Settings!$C$5)</f>
        <v/>
      </c>
      <c r="M158" s="3">
        <f>IF(G158="","",IF(F158="SELL",K158*IF(E158="Equity Intraday",Settings!$C$8,Settings!$C$7),0))</f>
        <v/>
      </c>
      <c r="N158" s="3">
        <f>IF(G158="","",K158*(Settings!$C$9+Settings!$C$10))</f>
        <v/>
      </c>
      <c r="O158" s="3">
        <f>IF(G158="","",IF(F158="BUY",K158*Settings!$C$11,0))</f>
        <v/>
      </c>
      <c r="P158" s="3">
        <f>IF(G158="","",L158*Settings!$C$6)</f>
        <v/>
      </c>
      <c r="Q158" s="3">
        <f>IF(G158="","",IF(AND(F158="SELL",E158="Equity Delivery"),Settings!$C$13,0))</f>
        <v/>
      </c>
      <c r="R158" s="3">
        <f>IF(G158="","",SUM(L158:Q158))</f>
        <v/>
      </c>
      <c r="S158" s="3">
        <f>IF(G158="","",IF(F158="BUY",-(K158+R158),K158-R158))</f>
        <v/>
      </c>
    </row>
    <row r="159">
      <c r="A159">
        <f>IF(G159="","",ROW()-1)</f>
        <v/>
      </c>
      <c r="B159" s="6" t="n"/>
      <c r="G159" s="3" t="n"/>
      <c r="H159" s="3" t="n"/>
      <c r="K159" s="3">
        <f>IF(G159="","",G159*H159)</f>
        <v/>
      </c>
      <c r="L159" s="3">
        <f>IF(G159="","",Settings!$C$5)</f>
        <v/>
      </c>
      <c r="M159" s="3">
        <f>IF(G159="","",IF(F159="SELL",K159*IF(E159="Equity Intraday",Settings!$C$8,Settings!$C$7),0))</f>
        <v/>
      </c>
      <c r="N159" s="3">
        <f>IF(G159="","",K159*(Settings!$C$9+Settings!$C$10))</f>
        <v/>
      </c>
      <c r="O159" s="3">
        <f>IF(G159="","",IF(F159="BUY",K159*Settings!$C$11,0))</f>
        <v/>
      </c>
      <c r="P159" s="3">
        <f>IF(G159="","",L159*Settings!$C$6)</f>
        <v/>
      </c>
      <c r="Q159" s="3">
        <f>IF(G159="","",IF(AND(F159="SELL",E159="Equity Delivery"),Settings!$C$13,0))</f>
        <v/>
      </c>
      <c r="R159" s="3">
        <f>IF(G159="","",SUM(L159:Q159))</f>
        <v/>
      </c>
      <c r="S159" s="3">
        <f>IF(G159="","",IF(F159="BUY",-(K159+R159),K159-R159))</f>
        <v/>
      </c>
    </row>
    <row r="160">
      <c r="A160">
        <f>IF(G160="","",ROW()-1)</f>
        <v/>
      </c>
      <c r="B160" s="6" t="n"/>
      <c r="G160" s="3" t="n"/>
      <c r="H160" s="3" t="n"/>
      <c r="K160" s="3">
        <f>IF(G160="","",G160*H160)</f>
        <v/>
      </c>
      <c r="L160" s="3">
        <f>IF(G160="","",Settings!$C$5)</f>
        <v/>
      </c>
      <c r="M160" s="3">
        <f>IF(G160="","",IF(F160="SELL",K160*IF(E160="Equity Intraday",Settings!$C$8,Settings!$C$7),0))</f>
        <v/>
      </c>
      <c r="N160" s="3">
        <f>IF(G160="","",K160*(Settings!$C$9+Settings!$C$10))</f>
        <v/>
      </c>
      <c r="O160" s="3">
        <f>IF(G160="","",IF(F160="BUY",K160*Settings!$C$11,0))</f>
        <v/>
      </c>
      <c r="P160" s="3">
        <f>IF(G160="","",L160*Settings!$C$6)</f>
        <v/>
      </c>
      <c r="Q160" s="3">
        <f>IF(G160="","",IF(AND(F160="SELL",E160="Equity Delivery"),Settings!$C$13,0))</f>
        <v/>
      </c>
      <c r="R160" s="3">
        <f>IF(G160="","",SUM(L160:Q160))</f>
        <v/>
      </c>
      <c r="S160" s="3">
        <f>IF(G160="","",IF(F160="BUY",-(K160+R160),K160-R160))</f>
        <v/>
      </c>
    </row>
    <row r="161">
      <c r="A161">
        <f>IF(G161="","",ROW()-1)</f>
        <v/>
      </c>
      <c r="B161" s="6" t="n"/>
      <c r="G161" s="3" t="n"/>
      <c r="H161" s="3" t="n"/>
      <c r="K161" s="3">
        <f>IF(G161="","",G161*H161)</f>
        <v/>
      </c>
      <c r="L161" s="3">
        <f>IF(G161="","",Settings!$C$5)</f>
        <v/>
      </c>
      <c r="M161" s="3">
        <f>IF(G161="","",IF(F161="SELL",K161*IF(E161="Equity Intraday",Settings!$C$8,Settings!$C$7),0))</f>
        <v/>
      </c>
      <c r="N161" s="3">
        <f>IF(G161="","",K161*(Settings!$C$9+Settings!$C$10))</f>
        <v/>
      </c>
      <c r="O161" s="3">
        <f>IF(G161="","",IF(F161="BUY",K161*Settings!$C$11,0))</f>
        <v/>
      </c>
      <c r="P161" s="3">
        <f>IF(G161="","",L161*Settings!$C$6)</f>
        <v/>
      </c>
      <c r="Q161" s="3">
        <f>IF(G161="","",IF(AND(F161="SELL",E161="Equity Delivery"),Settings!$C$13,0))</f>
        <v/>
      </c>
      <c r="R161" s="3">
        <f>IF(G161="","",SUM(L161:Q161))</f>
        <v/>
      </c>
      <c r="S161" s="3">
        <f>IF(G161="","",IF(F161="BUY",-(K161+R161),K161-R161))</f>
        <v/>
      </c>
    </row>
    <row r="162">
      <c r="A162">
        <f>IF(G162="","",ROW()-1)</f>
        <v/>
      </c>
      <c r="B162" s="6" t="n"/>
      <c r="G162" s="3" t="n"/>
      <c r="H162" s="3" t="n"/>
      <c r="K162" s="3">
        <f>IF(G162="","",G162*H162)</f>
        <v/>
      </c>
      <c r="L162" s="3">
        <f>IF(G162="","",Settings!$C$5)</f>
        <v/>
      </c>
      <c r="M162" s="3">
        <f>IF(G162="","",IF(F162="SELL",K162*IF(E162="Equity Intraday",Settings!$C$8,Settings!$C$7),0))</f>
        <v/>
      </c>
      <c r="N162" s="3">
        <f>IF(G162="","",K162*(Settings!$C$9+Settings!$C$10))</f>
        <v/>
      </c>
      <c r="O162" s="3">
        <f>IF(G162="","",IF(F162="BUY",K162*Settings!$C$11,0))</f>
        <v/>
      </c>
      <c r="P162" s="3">
        <f>IF(G162="","",L162*Settings!$C$6)</f>
        <v/>
      </c>
      <c r="Q162" s="3">
        <f>IF(G162="","",IF(AND(F162="SELL",E162="Equity Delivery"),Settings!$C$13,0))</f>
        <v/>
      </c>
      <c r="R162" s="3">
        <f>IF(G162="","",SUM(L162:Q162))</f>
        <v/>
      </c>
      <c r="S162" s="3">
        <f>IF(G162="","",IF(F162="BUY",-(K162+R162),K162-R162))</f>
        <v/>
      </c>
    </row>
    <row r="163">
      <c r="A163">
        <f>IF(G163="","",ROW()-1)</f>
        <v/>
      </c>
      <c r="B163" s="6" t="n"/>
      <c r="G163" s="3" t="n"/>
      <c r="H163" s="3" t="n"/>
      <c r="K163" s="3">
        <f>IF(G163="","",G163*H163)</f>
        <v/>
      </c>
      <c r="L163" s="3">
        <f>IF(G163="","",Settings!$C$5)</f>
        <v/>
      </c>
      <c r="M163" s="3">
        <f>IF(G163="","",IF(F163="SELL",K163*IF(E163="Equity Intraday",Settings!$C$8,Settings!$C$7),0))</f>
        <v/>
      </c>
      <c r="N163" s="3">
        <f>IF(G163="","",K163*(Settings!$C$9+Settings!$C$10))</f>
        <v/>
      </c>
      <c r="O163" s="3">
        <f>IF(G163="","",IF(F163="BUY",K163*Settings!$C$11,0))</f>
        <v/>
      </c>
      <c r="P163" s="3">
        <f>IF(G163="","",L163*Settings!$C$6)</f>
        <v/>
      </c>
      <c r="Q163" s="3">
        <f>IF(G163="","",IF(AND(F163="SELL",E163="Equity Delivery"),Settings!$C$13,0))</f>
        <v/>
      </c>
      <c r="R163" s="3">
        <f>IF(G163="","",SUM(L163:Q163))</f>
        <v/>
      </c>
      <c r="S163" s="3">
        <f>IF(G163="","",IF(F163="BUY",-(K163+R163),K163-R163))</f>
        <v/>
      </c>
    </row>
    <row r="164">
      <c r="A164">
        <f>IF(G164="","",ROW()-1)</f>
        <v/>
      </c>
      <c r="B164" s="6" t="n"/>
      <c r="G164" s="3" t="n"/>
      <c r="H164" s="3" t="n"/>
      <c r="K164" s="3">
        <f>IF(G164="","",G164*H164)</f>
        <v/>
      </c>
      <c r="L164" s="3">
        <f>IF(G164="","",Settings!$C$5)</f>
        <v/>
      </c>
      <c r="M164" s="3">
        <f>IF(G164="","",IF(F164="SELL",K164*IF(E164="Equity Intraday",Settings!$C$8,Settings!$C$7),0))</f>
        <v/>
      </c>
      <c r="N164" s="3">
        <f>IF(G164="","",K164*(Settings!$C$9+Settings!$C$10))</f>
        <v/>
      </c>
      <c r="O164" s="3">
        <f>IF(G164="","",IF(F164="BUY",K164*Settings!$C$11,0))</f>
        <v/>
      </c>
      <c r="P164" s="3">
        <f>IF(G164="","",L164*Settings!$C$6)</f>
        <v/>
      </c>
      <c r="Q164" s="3">
        <f>IF(G164="","",IF(AND(F164="SELL",E164="Equity Delivery"),Settings!$C$13,0))</f>
        <v/>
      </c>
      <c r="R164" s="3">
        <f>IF(G164="","",SUM(L164:Q164))</f>
        <v/>
      </c>
      <c r="S164" s="3">
        <f>IF(G164="","",IF(F164="BUY",-(K164+R164),K164-R164))</f>
        <v/>
      </c>
    </row>
    <row r="165">
      <c r="A165">
        <f>IF(G165="","",ROW()-1)</f>
        <v/>
      </c>
      <c r="B165" s="6" t="n"/>
      <c r="G165" s="3" t="n"/>
      <c r="H165" s="3" t="n"/>
      <c r="K165" s="3">
        <f>IF(G165="","",G165*H165)</f>
        <v/>
      </c>
      <c r="L165" s="3">
        <f>IF(G165="","",Settings!$C$5)</f>
        <v/>
      </c>
      <c r="M165" s="3">
        <f>IF(G165="","",IF(F165="SELL",K165*IF(E165="Equity Intraday",Settings!$C$8,Settings!$C$7),0))</f>
        <v/>
      </c>
      <c r="N165" s="3">
        <f>IF(G165="","",K165*(Settings!$C$9+Settings!$C$10))</f>
        <v/>
      </c>
      <c r="O165" s="3">
        <f>IF(G165="","",IF(F165="BUY",K165*Settings!$C$11,0))</f>
        <v/>
      </c>
      <c r="P165" s="3">
        <f>IF(G165="","",L165*Settings!$C$6)</f>
        <v/>
      </c>
      <c r="Q165" s="3">
        <f>IF(G165="","",IF(AND(F165="SELL",E165="Equity Delivery"),Settings!$C$13,0))</f>
        <v/>
      </c>
      <c r="R165" s="3">
        <f>IF(G165="","",SUM(L165:Q165))</f>
        <v/>
      </c>
      <c r="S165" s="3">
        <f>IF(G165="","",IF(F165="BUY",-(K165+R165),K165-R165))</f>
        <v/>
      </c>
    </row>
    <row r="166">
      <c r="A166">
        <f>IF(G166="","",ROW()-1)</f>
        <v/>
      </c>
      <c r="B166" s="6" t="n"/>
      <c r="G166" s="3" t="n"/>
      <c r="H166" s="3" t="n"/>
      <c r="K166" s="3">
        <f>IF(G166="","",G166*H166)</f>
        <v/>
      </c>
      <c r="L166" s="3">
        <f>IF(G166="","",Settings!$C$5)</f>
        <v/>
      </c>
      <c r="M166" s="3">
        <f>IF(G166="","",IF(F166="SELL",K166*IF(E166="Equity Intraday",Settings!$C$8,Settings!$C$7),0))</f>
        <v/>
      </c>
      <c r="N166" s="3">
        <f>IF(G166="","",K166*(Settings!$C$9+Settings!$C$10))</f>
        <v/>
      </c>
      <c r="O166" s="3">
        <f>IF(G166="","",IF(F166="BUY",K166*Settings!$C$11,0))</f>
        <v/>
      </c>
      <c r="P166" s="3">
        <f>IF(G166="","",L166*Settings!$C$6)</f>
        <v/>
      </c>
      <c r="Q166" s="3">
        <f>IF(G166="","",IF(AND(F166="SELL",E166="Equity Delivery"),Settings!$C$13,0))</f>
        <v/>
      </c>
      <c r="R166" s="3">
        <f>IF(G166="","",SUM(L166:Q166))</f>
        <v/>
      </c>
      <c r="S166" s="3">
        <f>IF(G166="","",IF(F166="BUY",-(K166+R166),K166-R166))</f>
        <v/>
      </c>
    </row>
    <row r="167">
      <c r="A167">
        <f>IF(G167="","",ROW()-1)</f>
        <v/>
      </c>
      <c r="B167" s="6" t="n"/>
      <c r="G167" s="3" t="n"/>
      <c r="H167" s="3" t="n"/>
      <c r="K167" s="3">
        <f>IF(G167="","",G167*H167)</f>
        <v/>
      </c>
      <c r="L167" s="3">
        <f>IF(G167="","",Settings!$C$5)</f>
        <v/>
      </c>
      <c r="M167" s="3">
        <f>IF(G167="","",IF(F167="SELL",K167*IF(E167="Equity Intraday",Settings!$C$8,Settings!$C$7),0))</f>
        <v/>
      </c>
      <c r="N167" s="3">
        <f>IF(G167="","",K167*(Settings!$C$9+Settings!$C$10))</f>
        <v/>
      </c>
      <c r="O167" s="3">
        <f>IF(G167="","",IF(F167="BUY",K167*Settings!$C$11,0))</f>
        <v/>
      </c>
      <c r="P167" s="3">
        <f>IF(G167="","",L167*Settings!$C$6)</f>
        <v/>
      </c>
      <c r="Q167" s="3">
        <f>IF(G167="","",IF(AND(F167="SELL",E167="Equity Delivery"),Settings!$C$13,0))</f>
        <v/>
      </c>
      <c r="R167" s="3">
        <f>IF(G167="","",SUM(L167:Q167))</f>
        <v/>
      </c>
      <c r="S167" s="3">
        <f>IF(G167="","",IF(F167="BUY",-(K167+R167),K167-R167))</f>
        <v/>
      </c>
    </row>
    <row r="168">
      <c r="A168">
        <f>IF(G168="","",ROW()-1)</f>
        <v/>
      </c>
      <c r="B168" s="6" t="n"/>
      <c r="G168" s="3" t="n"/>
      <c r="H168" s="3" t="n"/>
      <c r="K168" s="3">
        <f>IF(G168="","",G168*H168)</f>
        <v/>
      </c>
      <c r="L168" s="3">
        <f>IF(G168="","",Settings!$C$5)</f>
        <v/>
      </c>
      <c r="M168" s="3">
        <f>IF(G168="","",IF(F168="SELL",K168*IF(E168="Equity Intraday",Settings!$C$8,Settings!$C$7),0))</f>
        <v/>
      </c>
      <c r="N168" s="3">
        <f>IF(G168="","",K168*(Settings!$C$9+Settings!$C$10))</f>
        <v/>
      </c>
      <c r="O168" s="3">
        <f>IF(G168="","",IF(F168="BUY",K168*Settings!$C$11,0))</f>
        <v/>
      </c>
      <c r="P168" s="3">
        <f>IF(G168="","",L168*Settings!$C$6)</f>
        <v/>
      </c>
      <c r="Q168" s="3">
        <f>IF(G168="","",IF(AND(F168="SELL",E168="Equity Delivery"),Settings!$C$13,0))</f>
        <v/>
      </c>
      <c r="R168" s="3">
        <f>IF(G168="","",SUM(L168:Q168))</f>
        <v/>
      </c>
      <c r="S168" s="3">
        <f>IF(G168="","",IF(F168="BUY",-(K168+R168),K168-R168))</f>
        <v/>
      </c>
    </row>
    <row r="169">
      <c r="A169">
        <f>IF(G169="","",ROW()-1)</f>
        <v/>
      </c>
      <c r="B169" s="6" t="n"/>
      <c r="G169" s="3" t="n"/>
      <c r="H169" s="3" t="n"/>
      <c r="K169" s="3">
        <f>IF(G169="","",G169*H169)</f>
        <v/>
      </c>
      <c r="L169" s="3">
        <f>IF(G169="","",Settings!$C$5)</f>
        <v/>
      </c>
      <c r="M169" s="3">
        <f>IF(G169="","",IF(F169="SELL",K169*IF(E169="Equity Intraday",Settings!$C$8,Settings!$C$7),0))</f>
        <v/>
      </c>
      <c r="N169" s="3">
        <f>IF(G169="","",K169*(Settings!$C$9+Settings!$C$10))</f>
        <v/>
      </c>
      <c r="O169" s="3">
        <f>IF(G169="","",IF(F169="BUY",K169*Settings!$C$11,0))</f>
        <v/>
      </c>
      <c r="P169" s="3">
        <f>IF(G169="","",L169*Settings!$C$6)</f>
        <v/>
      </c>
      <c r="Q169" s="3">
        <f>IF(G169="","",IF(AND(F169="SELL",E169="Equity Delivery"),Settings!$C$13,0))</f>
        <v/>
      </c>
      <c r="R169" s="3">
        <f>IF(G169="","",SUM(L169:Q169))</f>
        <v/>
      </c>
      <c r="S169" s="3">
        <f>IF(G169="","",IF(F169="BUY",-(K169+R169),K169-R169))</f>
        <v/>
      </c>
    </row>
    <row r="170">
      <c r="A170">
        <f>IF(G170="","",ROW()-1)</f>
        <v/>
      </c>
      <c r="B170" s="6" t="n"/>
      <c r="G170" s="3" t="n"/>
      <c r="H170" s="3" t="n"/>
      <c r="K170" s="3">
        <f>IF(G170="","",G170*H170)</f>
        <v/>
      </c>
      <c r="L170" s="3">
        <f>IF(G170="","",Settings!$C$5)</f>
        <v/>
      </c>
      <c r="M170" s="3">
        <f>IF(G170="","",IF(F170="SELL",K170*IF(E170="Equity Intraday",Settings!$C$8,Settings!$C$7),0))</f>
        <v/>
      </c>
      <c r="N170" s="3">
        <f>IF(G170="","",K170*(Settings!$C$9+Settings!$C$10))</f>
        <v/>
      </c>
      <c r="O170" s="3">
        <f>IF(G170="","",IF(F170="BUY",K170*Settings!$C$11,0))</f>
        <v/>
      </c>
      <c r="P170" s="3">
        <f>IF(G170="","",L170*Settings!$C$6)</f>
        <v/>
      </c>
      <c r="Q170" s="3">
        <f>IF(G170="","",IF(AND(F170="SELL",E170="Equity Delivery"),Settings!$C$13,0))</f>
        <v/>
      </c>
      <c r="R170" s="3">
        <f>IF(G170="","",SUM(L170:Q170))</f>
        <v/>
      </c>
      <c r="S170" s="3">
        <f>IF(G170="","",IF(F170="BUY",-(K170+R170),K170-R170))</f>
        <v/>
      </c>
    </row>
    <row r="171">
      <c r="A171">
        <f>IF(G171="","",ROW()-1)</f>
        <v/>
      </c>
      <c r="B171" s="6" t="n"/>
      <c r="G171" s="3" t="n"/>
      <c r="H171" s="3" t="n"/>
      <c r="K171" s="3">
        <f>IF(G171="","",G171*H171)</f>
        <v/>
      </c>
      <c r="L171" s="3">
        <f>IF(G171="","",Settings!$C$5)</f>
        <v/>
      </c>
      <c r="M171" s="3">
        <f>IF(G171="","",IF(F171="SELL",K171*IF(E171="Equity Intraday",Settings!$C$8,Settings!$C$7),0))</f>
        <v/>
      </c>
      <c r="N171" s="3">
        <f>IF(G171="","",K171*(Settings!$C$9+Settings!$C$10))</f>
        <v/>
      </c>
      <c r="O171" s="3">
        <f>IF(G171="","",IF(F171="BUY",K171*Settings!$C$11,0))</f>
        <v/>
      </c>
      <c r="P171" s="3">
        <f>IF(G171="","",L171*Settings!$C$6)</f>
        <v/>
      </c>
      <c r="Q171" s="3">
        <f>IF(G171="","",IF(AND(F171="SELL",E171="Equity Delivery"),Settings!$C$13,0))</f>
        <v/>
      </c>
      <c r="R171" s="3">
        <f>IF(G171="","",SUM(L171:Q171))</f>
        <v/>
      </c>
      <c r="S171" s="3">
        <f>IF(G171="","",IF(F171="BUY",-(K171+R171),K171-R171))</f>
        <v/>
      </c>
    </row>
    <row r="172">
      <c r="A172">
        <f>IF(G172="","",ROW()-1)</f>
        <v/>
      </c>
      <c r="B172" s="6" t="n"/>
      <c r="G172" s="3" t="n"/>
      <c r="H172" s="3" t="n"/>
      <c r="K172" s="3">
        <f>IF(G172="","",G172*H172)</f>
        <v/>
      </c>
      <c r="L172" s="3">
        <f>IF(G172="","",Settings!$C$5)</f>
        <v/>
      </c>
      <c r="M172" s="3">
        <f>IF(G172="","",IF(F172="SELL",K172*IF(E172="Equity Intraday",Settings!$C$8,Settings!$C$7),0))</f>
        <v/>
      </c>
      <c r="N172" s="3">
        <f>IF(G172="","",K172*(Settings!$C$9+Settings!$C$10))</f>
        <v/>
      </c>
      <c r="O172" s="3">
        <f>IF(G172="","",IF(F172="BUY",K172*Settings!$C$11,0))</f>
        <v/>
      </c>
      <c r="P172" s="3">
        <f>IF(G172="","",L172*Settings!$C$6)</f>
        <v/>
      </c>
      <c r="Q172" s="3">
        <f>IF(G172="","",IF(AND(F172="SELL",E172="Equity Delivery"),Settings!$C$13,0))</f>
        <v/>
      </c>
      <c r="R172" s="3">
        <f>IF(G172="","",SUM(L172:Q172))</f>
        <v/>
      </c>
      <c r="S172" s="3">
        <f>IF(G172="","",IF(F172="BUY",-(K172+R172),K172-R172))</f>
        <v/>
      </c>
    </row>
    <row r="173">
      <c r="A173">
        <f>IF(G173="","",ROW()-1)</f>
        <v/>
      </c>
      <c r="B173" s="6" t="n"/>
      <c r="G173" s="3" t="n"/>
      <c r="H173" s="3" t="n"/>
      <c r="K173" s="3">
        <f>IF(G173="","",G173*H173)</f>
        <v/>
      </c>
      <c r="L173" s="3">
        <f>IF(G173="","",Settings!$C$5)</f>
        <v/>
      </c>
      <c r="M173" s="3">
        <f>IF(G173="","",IF(F173="SELL",K173*IF(E173="Equity Intraday",Settings!$C$8,Settings!$C$7),0))</f>
        <v/>
      </c>
      <c r="N173" s="3">
        <f>IF(G173="","",K173*(Settings!$C$9+Settings!$C$10))</f>
        <v/>
      </c>
      <c r="O173" s="3">
        <f>IF(G173="","",IF(F173="BUY",K173*Settings!$C$11,0))</f>
        <v/>
      </c>
      <c r="P173" s="3">
        <f>IF(G173="","",L173*Settings!$C$6)</f>
        <v/>
      </c>
      <c r="Q173" s="3">
        <f>IF(G173="","",IF(AND(F173="SELL",E173="Equity Delivery"),Settings!$C$13,0))</f>
        <v/>
      </c>
      <c r="R173" s="3">
        <f>IF(G173="","",SUM(L173:Q173))</f>
        <v/>
      </c>
      <c r="S173" s="3">
        <f>IF(G173="","",IF(F173="BUY",-(K173+R173),K173-R173))</f>
        <v/>
      </c>
    </row>
    <row r="174">
      <c r="A174">
        <f>IF(G174="","",ROW()-1)</f>
        <v/>
      </c>
      <c r="B174" s="6" t="n"/>
      <c r="G174" s="3" t="n"/>
      <c r="H174" s="3" t="n"/>
      <c r="K174" s="3">
        <f>IF(G174="","",G174*H174)</f>
        <v/>
      </c>
      <c r="L174" s="3">
        <f>IF(G174="","",Settings!$C$5)</f>
        <v/>
      </c>
      <c r="M174" s="3">
        <f>IF(G174="","",IF(F174="SELL",K174*IF(E174="Equity Intraday",Settings!$C$8,Settings!$C$7),0))</f>
        <v/>
      </c>
      <c r="N174" s="3">
        <f>IF(G174="","",K174*(Settings!$C$9+Settings!$C$10))</f>
        <v/>
      </c>
      <c r="O174" s="3">
        <f>IF(G174="","",IF(F174="BUY",K174*Settings!$C$11,0))</f>
        <v/>
      </c>
      <c r="P174" s="3">
        <f>IF(G174="","",L174*Settings!$C$6)</f>
        <v/>
      </c>
      <c r="Q174" s="3">
        <f>IF(G174="","",IF(AND(F174="SELL",E174="Equity Delivery"),Settings!$C$13,0))</f>
        <v/>
      </c>
      <c r="R174" s="3">
        <f>IF(G174="","",SUM(L174:Q174))</f>
        <v/>
      </c>
      <c r="S174" s="3">
        <f>IF(G174="","",IF(F174="BUY",-(K174+R174),K174-R174))</f>
        <v/>
      </c>
    </row>
    <row r="175">
      <c r="A175">
        <f>IF(G175="","",ROW()-1)</f>
        <v/>
      </c>
      <c r="B175" s="6" t="n"/>
      <c r="G175" s="3" t="n"/>
      <c r="H175" s="3" t="n"/>
      <c r="K175" s="3">
        <f>IF(G175="","",G175*H175)</f>
        <v/>
      </c>
      <c r="L175" s="3">
        <f>IF(G175="","",Settings!$C$5)</f>
        <v/>
      </c>
      <c r="M175" s="3">
        <f>IF(G175="","",IF(F175="SELL",K175*IF(E175="Equity Intraday",Settings!$C$8,Settings!$C$7),0))</f>
        <v/>
      </c>
      <c r="N175" s="3">
        <f>IF(G175="","",K175*(Settings!$C$9+Settings!$C$10))</f>
        <v/>
      </c>
      <c r="O175" s="3">
        <f>IF(G175="","",IF(F175="BUY",K175*Settings!$C$11,0))</f>
        <v/>
      </c>
      <c r="P175" s="3">
        <f>IF(G175="","",L175*Settings!$C$6)</f>
        <v/>
      </c>
      <c r="Q175" s="3">
        <f>IF(G175="","",IF(AND(F175="SELL",E175="Equity Delivery"),Settings!$C$13,0))</f>
        <v/>
      </c>
      <c r="R175" s="3">
        <f>IF(G175="","",SUM(L175:Q175))</f>
        <v/>
      </c>
      <c r="S175" s="3">
        <f>IF(G175="","",IF(F175="BUY",-(K175+R175),K175-R175))</f>
        <v/>
      </c>
    </row>
    <row r="176">
      <c r="A176">
        <f>IF(G176="","",ROW()-1)</f>
        <v/>
      </c>
      <c r="B176" s="6" t="n"/>
      <c r="G176" s="3" t="n"/>
      <c r="H176" s="3" t="n"/>
      <c r="K176" s="3">
        <f>IF(G176="","",G176*H176)</f>
        <v/>
      </c>
      <c r="L176" s="3">
        <f>IF(G176="","",Settings!$C$5)</f>
        <v/>
      </c>
      <c r="M176" s="3">
        <f>IF(G176="","",IF(F176="SELL",K176*IF(E176="Equity Intraday",Settings!$C$8,Settings!$C$7),0))</f>
        <v/>
      </c>
      <c r="N176" s="3">
        <f>IF(G176="","",K176*(Settings!$C$9+Settings!$C$10))</f>
        <v/>
      </c>
      <c r="O176" s="3">
        <f>IF(G176="","",IF(F176="BUY",K176*Settings!$C$11,0))</f>
        <v/>
      </c>
      <c r="P176" s="3">
        <f>IF(G176="","",L176*Settings!$C$6)</f>
        <v/>
      </c>
      <c r="Q176" s="3">
        <f>IF(G176="","",IF(AND(F176="SELL",E176="Equity Delivery"),Settings!$C$13,0))</f>
        <v/>
      </c>
      <c r="R176" s="3">
        <f>IF(G176="","",SUM(L176:Q176))</f>
        <v/>
      </c>
      <c r="S176" s="3">
        <f>IF(G176="","",IF(F176="BUY",-(K176+R176),K176-R176))</f>
        <v/>
      </c>
    </row>
    <row r="177">
      <c r="A177">
        <f>IF(G177="","",ROW()-1)</f>
        <v/>
      </c>
      <c r="B177" s="6" t="n"/>
      <c r="G177" s="3" t="n"/>
      <c r="H177" s="3" t="n"/>
      <c r="K177" s="3">
        <f>IF(G177="","",G177*H177)</f>
        <v/>
      </c>
      <c r="L177" s="3">
        <f>IF(G177="","",Settings!$C$5)</f>
        <v/>
      </c>
      <c r="M177" s="3">
        <f>IF(G177="","",IF(F177="SELL",K177*IF(E177="Equity Intraday",Settings!$C$8,Settings!$C$7),0))</f>
        <v/>
      </c>
      <c r="N177" s="3">
        <f>IF(G177="","",K177*(Settings!$C$9+Settings!$C$10))</f>
        <v/>
      </c>
      <c r="O177" s="3">
        <f>IF(G177="","",IF(F177="BUY",K177*Settings!$C$11,0))</f>
        <v/>
      </c>
      <c r="P177" s="3">
        <f>IF(G177="","",L177*Settings!$C$6)</f>
        <v/>
      </c>
      <c r="Q177" s="3">
        <f>IF(G177="","",IF(AND(F177="SELL",E177="Equity Delivery"),Settings!$C$13,0))</f>
        <v/>
      </c>
      <c r="R177" s="3">
        <f>IF(G177="","",SUM(L177:Q177))</f>
        <v/>
      </c>
      <c r="S177" s="3">
        <f>IF(G177="","",IF(F177="BUY",-(K177+R177),K177-R177))</f>
        <v/>
      </c>
    </row>
    <row r="178">
      <c r="A178">
        <f>IF(G178="","",ROW()-1)</f>
        <v/>
      </c>
      <c r="B178" s="6" t="n"/>
      <c r="G178" s="3" t="n"/>
      <c r="H178" s="3" t="n"/>
      <c r="K178" s="3">
        <f>IF(G178="","",G178*H178)</f>
        <v/>
      </c>
      <c r="L178" s="3">
        <f>IF(G178="","",Settings!$C$5)</f>
        <v/>
      </c>
      <c r="M178" s="3">
        <f>IF(G178="","",IF(F178="SELL",K178*IF(E178="Equity Intraday",Settings!$C$8,Settings!$C$7),0))</f>
        <v/>
      </c>
      <c r="N178" s="3">
        <f>IF(G178="","",K178*(Settings!$C$9+Settings!$C$10))</f>
        <v/>
      </c>
      <c r="O178" s="3">
        <f>IF(G178="","",IF(F178="BUY",K178*Settings!$C$11,0))</f>
        <v/>
      </c>
      <c r="P178" s="3">
        <f>IF(G178="","",L178*Settings!$C$6)</f>
        <v/>
      </c>
      <c r="Q178" s="3">
        <f>IF(G178="","",IF(AND(F178="SELL",E178="Equity Delivery"),Settings!$C$13,0))</f>
        <v/>
      </c>
      <c r="R178" s="3">
        <f>IF(G178="","",SUM(L178:Q178))</f>
        <v/>
      </c>
      <c r="S178" s="3">
        <f>IF(G178="","",IF(F178="BUY",-(K178+R178),K178-R178))</f>
        <v/>
      </c>
    </row>
    <row r="179">
      <c r="A179">
        <f>IF(G179="","",ROW()-1)</f>
        <v/>
      </c>
      <c r="B179" s="6" t="n"/>
      <c r="G179" s="3" t="n"/>
      <c r="H179" s="3" t="n"/>
      <c r="K179" s="3">
        <f>IF(G179="","",G179*H179)</f>
        <v/>
      </c>
      <c r="L179" s="3">
        <f>IF(G179="","",Settings!$C$5)</f>
        <v/>
      </c>
      <c r="M179" s="3">
        <f>IF(G179="","",IF(F179="SELL",K179*IF(E179="Equity Intraday",Settings!$C$8,Settings!$C$7),0))</f>
        <v/>
      </c>
      <c r="N179" s="3">
        <f>IF(G179="","",K179*(Settings!$C$9+Settings!$C$10))</f>
        <v/>
      </c>
      <c r="O179" s="3">
        <f>IF(G179="","",IF(F179="BUY",K179*Settings!$C$11,0))</f>
        <v/>
      </c>
      <c r="P179" s="3">
        <f>IF(G179="","",L179*Settings!$C$6)</f>
        <v/>
      </c>
      <c r="Q179" s="3">
        <f>IF(G179="","",IF(AND(F179="SELL",E179="Equity Delivery"),Settings!$C$13,0))</f>
        <v/>
      </c>
      <c r="R179" s="3">
        <f>IF(G179="","",SUM(L179:Q179))</f>
        <v/>
      </c>
      <c r="S179" s="3">
        <f>IF(G179="","",IF(F179="BUY",-(K179+R179),K179-R179))</f>
        <v/>
      </c>
    </row>
    <row r="180">
      <c r="A180">
        <f>IF(G180="","",ROW()-1)</f>
        <v/>
      </c>
      <c r="B180" s="6" t="n"/>
      <c r="G180" s="3" t="n"/>
      <c r="H180" s="3" t="n"/>
      <c r="K180" s="3">
        <f>IF(G180="","",G180*H180)</f>
        <v/>
      </c>
      <c r="L180" s="3">
        <f>IF(G180="","",Settings!$C$5)</f>
        <v/>
      </c>
      <c r="M180" s="3">
        <f>IF(G180="","",IF(F180="SELL",K180*IF(E180="Equity Intraday",Settings!$C$8,Settings!$C$7),0))</f>
        <v/>
      </c>
      <c r="N180" s="3">
        <f>IF(G180="","",K180*(Settings!$C$9+Settings!$C$10))</f>
        <v/>
      </c>
      <c r="O180" s="3">
        <f>IF(G180="","",IF(F180="BUY",K180*Settings!$C$11,0))</f>
        <v/>
      </c>
      <c r="P180" s="3">
        <f>IF(G180="","",L180*Settings!$C$6)</f>
        <v/>
      </c>
      <c r="Q180" s="3">
        <f>IF(G180="","",IF(AND(F180="SELL",E180="Equity Delivery"),Settings!$C$13,0))</f>
        <v/>
      </c>
      <c r="R180" s="3">
        <f>IF(G180="","",SUM(L180:Q180))</f>
        <v/>
      </c>
      <c r="S180" s="3">
        <f>IF(G180="","",IF(F180="BUY",-(K180+R180),K180-R180))</f>
        <v/>
      </c>
    </row>
    <row r="181">
      <c r="A181">
        <f>IF(G181="","",ROW()-1)</f>
        <v/>
      </c>
      <c r="B181" s="6" t="n"/>
      <c r="G181" s="3" t="n"/>
      <c r="H181" s="3" t="n"/>
      <c r="K181" s="3">
        <f>IF(G181="","",G181*H181)</f>
        <v/>
      </c>
      <c r="L181" s="3">
        <f>IF(G181="","",Settings!$C$5)</f>
        <v/>
      </c>
      <c r="M181" s="3">
        <f>IF(G181="","",IF(F181="SELL",K181*IF(E181="Equity Intraday",Settings!$C$8,Settings!$C$7),0))</f>
        <v/>
      </c>
      <c r="N181" s="3">
        <f>IF(G181="","",K181*(Settings!$C$9+Settings!$C$10))</f>
        <v/>
      </c>
      <c r="O181" s="3">
        <f>IF(G181="","",IF(F181="BUY",K181*Settings!$C$11,0))</f>
        <v/>
      </c>
      <c r="P181" s="3">
        <f>IF(G181="","",L181*Settings!$C$6)</f>
        <v/>
      </c>
      <c r="Q181" s="3">
        <f>IF(G181="","",IF(AND(F181="SELL",E181="Equity Delivery"),Settings!$C$13,0))</f>
        <v/>
      </c>
      <c r="R181" s="3">
        <f>IF(G181="","",SUM(L181:Q181))</f>
        <v/>
      </c>
      <c r="S181" s="3">
        <f>IF(G181="","",IF(F181="BUY",-(K181+R181),K181-R181))</f>
        <v/>
      </c>
    </row>
    <row r="182">
      <c r="A182">
        <f>IF(G182="","",ROW()-1)</f>
        <v/>
      </c>
      <c r="B182" s="6" t="n"/>
      <c r="G182" s="3" t="n"/>
      <c r="H182" s="3" t="n"/>
      <c r="K182" s="3">
        <f>IF(G182="","",G182*H182)</f>
        <v/>
      </c>
      <c r="L182" s="3">
        <f>IF(G182="","",Settings!$C$5)</f>
        <v/>
      </c>
      <c r="M182" s="3">
        <f>IF(G182="","",IF(F182="SELL",K182*IF(E182="Equity Intraday",Settings!$C$8,Settings!$C$7),0))</f>
        <v/>
      </c>
      <c r="N182" s="3">
        <f>IF(G182="","",K182*(Settings!$C$9+Settings!$C$10))</f>
        <v/>
      </c>
      <c r="O182" s="3">
        <f>IF(G182="","",IF(F182="BUY",K182*Settings!$C$11,0))</f>
        <v/>
      </c>
      <c r="P182" s="3">
        <f>IF(G182="","",L182*Settings!$C$6)</f>
        <v/>
      </c>
      <c r="Q182" s="3">
        <f>IF(G182="","",IF(AND(F182="SELL",E182="Equity Delivery"),Settings!$C$13,0))</f>
        <v/>
      </c>
      <c r="R182" s="3">
        <f>IF(G182="","",SUM(L182:Q182))</f>
        <v/>
      </c>
      <c r="S182" s="3">
        <f>IF(G182="","",IF(F182="BUY",-(K182+R182),K182-R182))</f>
        <v/>
      </c>
    </row>
    <row r="183">
      <c r="A183">
        <f>IF(G183="","",ROW()-1)</f>
        <v/>
      </c>
      <c r="B183" s="6" t="n"/>
      <c r="G183" s="3" t="n"/>
      <c r="H183" s="3" t="n"/>
      <c r="K183" s="3">
        <f>IF(G183="","",G183*H183)</f>
        <v/>
      </c>
      <c r="L183" s="3">
        <f>IF(G183="","",Settings!$C$5)</f>
        <v/>
      </c>
      <c r="M183" s="3">
        <f>IF(G183="","",IF(F183="SELL",K183*IF(E183="Equity Intraday",Settings!$C$8,Settings!$C$7),0))</f>
        <v/>
      </c>
      <c r="N183" s="3">
        <f>IF(G183="","",K183*(Settings!$C$9+Settings!$C$10))</f>
        <v/>
      </c>
      <c r="O183" s="3">
        <f>IF(G183="","",IF(F183="BUY",K183*Settings!$C$11,0))</f>
        <v/>
      </c>
      <c r="P183" s="3">
        <f>IF(G183="","",L183*Settings!$C$6)</f>
        <v/>
      </c>
      <c r="Q183" s="3">
        <f>IF(G183="","",IF(AND(F183="SELL",E183="Equity Delivery"),Settings!$C$13,0))</f>
        <v/>
      </c>
      <c r="R183" s="3">
        <f>IF(G183="","",SUM(L183:Q183))</f>
        <v/>
      </c>
      <c r="S183" s="3">
        <f>IF(G183="","",IF(F183="BUY",-(K183+R183),K183-R183))</f>
        <v/>
      </c>
    </row>
    <row r="184">
      <c r="A184">
        <f>IF(G184="","",ROW()-1)</f>
        <v/>
      </c>
      <c r="B184" s="6" t="n"/>
      <c r="G184" s="3" t="n"/>
      <c r="H184" s="3" t="n"/>
      <c r="K184" s="3">
        <f>IF(G184="","",G184*H184)</f>
        <v/>
      </c>
      <c r="L184" s="3">
        <f>IF(G184="","",Settings!$C$5)</f>
        <v/>
      </c>
      <c r="M184" s="3">
        <f>IF(G184="","",IF(F184="SELL",K184*IF(E184="Equity Intraday",Settings!$C$8,Settings!$C$7),0))</f>
        <v/>
      </c>
      <c r="N184" s="3">
        <f>IF(G184="","",K184*(Settings!$C$9+Settings!$C$10))</f>
        <v/>
      </c>
      <c r="O184" s="3">
        <f>IF(G184="","",IF(F184="BUY",K184*Settings!$C$11,0))</f>
        <v/>
      </c>
      <c r="P184" s="3">
        <f>IF(G184="","",L184*Settings!$C$6)</f>
        <v/>
      </c>
      <c r="Q184" s="3">
        <f>IF(G184="","",IF(AND(F184="SELL",E184="Equity Delivery"),Settings!$C$13,0))</f>
        <v/>
      </c>
      <c r="R184" s="3">
        <f>IF(G184="","",SUM(L184:Q184))</f>
        <v/>
      </c>
      <c r="S184" s="3">
        <f>IF(G184="","",IF(F184="BUY",-(K184+R184),K184-R184))</f>
        <v/>
      </c>
    </row>
    <row r="185">
      <c r="A185">
        <f>IF(G185="","",ROW()-1)</f>
        <v/>
      </c>
      <c r="B185" s="6" t="n"/>
      <c r="G185" s="3" t="n"/>
      <c r="H185" s="3" t="n"/>
      <c r="K185" s="3">
        <f>IF(G185="","",G185*H185)</f>
        <v/>
      </c>
      <c r="L185" s="3">
        <f>IF(G185="","",Settings!$C$5)</f>
        <v/>
      </c>
      <c r="M185" s="3">
        <f>IF(G185="","",IF(F185="SELL",K185*IF(E185="Equity Intraday",Settings!$C$8,Settings!$C$7),0))</f>
        <v/>
      </c>
      <c r="N185" s="3">
        <f>IF(G185="","",K185*(Settings!$C$9+Settings!$C$10))</f>
        <v/>
      </c>
      <c r="O185" s="3">
        <f>IF(G185="","",IF(F185="BUY",K185*Settings!$C$11,0))</f>
        <v/>
      </c>
      <c r="P185" s="3">
        <f>IF(G185="","",L185*Settings!$C$6)</f>
        <v/>
      </c>
      <c r="Q185" s="3">
        <f>IF(G185="","",IF(AND(F185="SELL",E185="Equity Delivery"),Settings!$C$13,0))</f>
        <v/>
      </c>
      <c r="R185" s="3">
        <f>IF(G185="","",SUM(L185:Q185))</f>
        <v/>
      </c>
      <c r="S185" s="3">
        <f>IF(G185="","",IF(F185="BUY",-(K185+R185),K185-R185))</f>
        <v/>
      </c>
    </row>
    <row r="186">
      <c r="A186">
        <f>IF(G186="","",ROW()-1)</f>
        <v/>
      </c>
      <c r="B186" s="6" t="n"/>
      <c r="G186" s="3" t="n"/>
      <c r="H186" s="3" t="n"/>
      <c r="K186" s="3">
        <f>IF(G186="","",G186*H186)</f>
        <v/>
      </c>
      <c r="L186" s="3">
        <f>IF(G186="","",Settings!$C$5)</f>
        <v/>
      </c>
      <c r="M186" s="3">
        <f>IF(G186="","",IF(F186="SELL",K186*IF(E186="Equity Intraday",Settings!$C$8,Settings!$C$7),0))</f>
        <v/>
      </c>
      <c r="N186" s="3">
        <f>IF(G186="","",K186*(Settings!$C$9+Settings!$C$10))</f>
        <v/>
      </c>
      <c r="O186" s="3">
        <f>IF(G186="","",IF(F186="BUY",K186*Settings!$C$11,0))</f>
        <v/>
      </c>
      <c r="P186" s="3">
        <f>IF(G186="","",L186*Settings!$C$6)</f>
        <v/>
      </c>
      <c r="Q186" s="3">
        <f>IF(G186="","",IF(AND(F186="SELL",E186="Equity Delivery"),Settings!$C$13,0))</f>
        <v/>
      </c>
      <c r="R186" s="3">
        <f>IF(G186="","",SUM(L186:Q186))</f>
        <v/>
      </c>
      <c r="S186" s="3">
        <f>IF(G186="","",IF(F186="BUY",-(K186+R186),K186-R186))</f>
        <v/>
      </c>
    </row>
    <row r="187">
      <c r="A187">
        <f>IF(G187="","",ROW()-1)</f>
        <v/>
      </c>
      <c r="B187" s="6" t="n"/>
      <c r="G187" s="3" t="n"/>
      <c r="H187" s="3" t="n"/>
      <c r="K187" s="3">
        <f>IF(G187="","",G187*H187)</f>
        <v/>
      </c>
      <c r="L187" s="3">
        <f>IF(G187="","",Settings!$C$5)</f>
        <v/>
      </c>
      <c r="M187" s="3">
        <f>IF(G187="","",IF(F187="SELL",K187*IF(E187="Equity Intraday",Settings!$C$8,Settings!$C$7),0))</f>
        <v/>
      </c>
      <c r="N187" s="3">
        <f>IF(G187="","",K187*(Settings!$C$9+Settings!$C$10))</f>
        <v/>
      </c>
      <c r="O187" s="3">
        <f>IF(G187="","",IF(F187="BUY",K187*Settings!$C$11,0))</f>
        <v/>
      </c>
      <c r="P187" s="3">
        <f>IF(G187="","",L187*Settings!$C$6)</f>
        <v/>
      </c>
      <c r="Q187" s="3">
        <f>IF(G187="","",IF(AND(F187="SELL",E187="Equity Delivery"),Settings!$C$13,0))</f>
        <v/>
      </c>
      <c r="R187" s="3">
        <f>IF(G187="","",SUM(L187:Q187))</f>
        <v/>
      </c>
      <c r="S187" s="3">
        <f>IF(G187="","",IF(F187="BUY",-(K187+R187),K187-R187))</f>
        <v/>
      </c>
    </row>
    <row r="188">
      <c r="A188">
        <f>IF(G188="","",ROW()-1)</f>
        <v/>
      </c>
      <c r="B188" s="6" t="n"/>
      <c r="G188" s="3" t="n"/>
      <c r="H188" s="3" t="n"/>
      <c r="K188" s="3">
        <f>IF(G188="","",G188*H188)</f>
        <v/>
      </c>
      <c r="L188" s="3">
        <f>IF(G188="","",Settings!$C$5)</f>
        <v/>
      </c>
      <c r="M188" s="3">
        <f>IF(G188="","",IF(F188="SELL",K188*IF(E188="Equity Intraday",Settings!$C$8,Settings!$C$7),0))</f>
        <v/>
      </c>
      <c r="N188" s="3">
        <f>IF(G188="","",K188*(Settings!$C$9+Settings!$C$10))</f>
        <v/>
      </c>
      <c r="O188" s="3">
        <f>IF(G188="","",IF(F188="BUY",K188*Settings!$C$11,0))</f>
        <v/>
      </c>
      <c r="P188" s="3">
        <f>IF(G188="","",L188*Settings!$C$6)</f>
        <v/>
      </c>
      <c r="Q188" s="3">
        <f>IF(G188="","",IF(AND(F188="SELL",E188="Equity Delivery"),Settings!$C$13,0))</f>
        <v/>
      </c>
      <c r="R188" s="3">
        <f>IF(G188="","",SUM(L188:Q188))</f>
        <v/>
      </c>
      <c r="S188" s="3">
        <f>IF(G188="","",IF(F188="BUY",-(K188+R188),K188-R188))</f>
        <v/>
      </c>
    </row>
    <row r="189">
      <c r="A189">
        <f>IF(G189="","",ROW()-1)</f>
        <v/>
      </c>
      <c r="B189" s="6" t="n"/>
      <c r="G189" s="3" t="n"/>
      <c r="H189" s="3" t="n"/>
      <c r="K189" s="3">
        <f>IF(G189="","",G189*H189)</f>
        <v/>
      </c>
      <c r="L189" s="3">
        <f>IF(G189="","",Settings!$C$5)</f>
        <v/>
      </c>
      <c r="M189" s="3">
        <f>IF(G189="","",IF(F189="SELL",K189*IF(E189="Equity Intraday",Settings!$C$8,Settings!$C$7),0))</f>
        <v/>
      </c>
      <c r="N189" s="3">
        <f>IF(G189="","",K189*(Settings!$C$9+Settings!$C$10))</f>
        <v/>
      </c>
      <c r="O189" s="3">
        <f>IF(G189="","",IF(F189="BUY",K189*Settings!$C$11,0))</f>
        <v/>
      </c>
      <c r="P189" s="3">
        <f>IF(G189="","",L189*Settings!$C$6)</f>
        <v/>
      </c>
      <c r="Q189" s="3">
        <f>IF(G189="","",IF(AND(F189="SELL",E189="Equity Delivery"),Settings!$C$13,0))</f>
        <v/>
      </c>
      <c r="R189" s="3">
        <f>IF(G189="","",SUM(L189:Q189))</f>
        <v/>
      </c>
      <c r="S189" s="3">
        <f>IF(G189="","",IF(F189="BUY",-(K189+R189),K189-R189))</f>
        <v/>
      </c>
    </row>
    <row r="190">
      <c r="A190">
        <f>IF(G190="","",ROW()-1)</f>
        <v/>
      </c>
      <c r="B190" s="6" t="n"/>
      <c r="G190" s="3" t="n"/>
      <c r="H190" s="3" t="n"/>
      <c r="K190" s="3">
        <f>IF(G190="","",G190*H190)</f>
        <v/>
      </c>
      <c r="L190" s="3">
        <f>IF(G190="","",Settings!$C$5)</f>
        <v/>
      </c>
      <c r="M190" s="3">
        <f>IF(G190="","",IF(F190="SELL",K190*IF(E190="Equity Intraday",Settings!$C$8,Settings!$C$7),0))</f>
        <v/>
      </c>
      <c r="N190" s="3">
        <f>IF(G190="","",K190*(Settings!$C$9+Settings!$C$10))</f>
        <v/>
      </c>
      <c r="O190" s="3">
        <f>IF(G190="","",IF(F190="BUY",K190*Settings!$C$11,0))</f>
        <v/>
      </c>
      <c r="P190" s="3">
        <f>IF(G190="","",L190*Settings!$C$6)</f>
        <v/>
      </c>
      <c r="Q190" s="3">
        <f>IF(G190="","",IF(AND(F190="SELL",E190="Equity Delivery"),Settings!$C$13,0))</f>
        <v/>
      </c>
      <c r="R190" s="3">
        <f>IF(G190="","",SUM(L190:Q190))</f>
        <v/>
      </c>
      <c r="S190" s="3">
        <f>IF(G190="","",IF(F190="BUY",-(K190+R190),K190-R190))</f>
        <v/>
      </c>
    </row>
    <row r="191">
      <c r="A191">
        <f>IF(G191="","",ROW()-1)</f>
        <v/>
      </c>
      <c r="B191" s="6" t="n"/>
      <c r="G191" s="3" t="n"/>
      <c r="H191" s="3" t="n"/>
      <c r="K191" s="3">
        <f>IF(G191="","",G191*H191)</f>
        <v/>
      </c>
      <c r="L191" s="3">
        <f>IF(G191="","",Settings!$C$5)</f>
        <v/>
      </c>
      <c r="M191" s="3">
        <f>IF(G191="","",IF(F191="SELL",K191*IF(E191="Equity Intraday",Settings!$C$8,Settings!$C$7),0))</f>
        <v/>
      </c>
      <c r="N191" s="3">
        <f>IF(G191="","",K191*(Settings!$C$9+Settings!$C$10))</f>
        <v/>
      </c>
      <c r="O191" s="3">
        <f>IF(G191="","",IF(F191="BUY",K191*Settings!$C$11,0))</f>
        <v/>
      </c>
      <c r="P191" s="3">
        <f>IF(G191="","",L191*Settings!$C$6)</f>
        <v/>
      </c>
      <c r="Q191" s="3">
        <f>IF(G191="","",IF(AND(F191="SELL",E191="Equity Delivery"),Settings!$C$13,0))</f>
        <v/>
      </c>
      <c r="R191" s="3">
        <f>IF(G191="","",SUM(L191:Q191))</f>
        <v/>
      </c>
      <c r="S191" s="3">
        <f>IF(G191="","",IF(F191="BUY",-(K191+R191),K191-R191))</f>
        <v/>
      </c>
    </row>
    <row r="192">
      <c r="A192">
        <f>IF(G192="","",ROW()-1)</f>
        <v/>
      </c>
      <c r="B192" s="6" t="n"/>
      <c r="G192" s="3" t="n"/>
      <c r="H192" s="3" t="n"/>
      <c r="K192" s="3">
        <f>IF(G192="","",G192*H192)</f>
        <v/>
      </c>
      <c r="L192" s="3">
        <f>IF(G192="","",Settings!$C$5)</f>
        <v/>
      </c>
      <c r="M192" s="3">
        <f>IF(G192="","",IF(F192="SELL",K192*IF(E192="Equity Intraday",Settings!$C$8,Settings!$C$7),0))</f>
        <v/>
      </c>
      <c r="N192" s="3">
        <f>IF(G192="","",K192*(Settings!$C$9+Settings!$C$10))</f>
        <v/>
      </c>
      <c r="O192" s="3">
        <f>IF(G192="","",IF(F192="BUY",K192*Settings!$C$11,0))</f>
        <v/>
      </c>
      <c r="P192" s="3">
        <f>IF(G192="","",L192*Settings!$C$6)</f>
        <v/>
      </c>
      <c r="Q192" s="3">
        <f>IF(G192="","",IF(AND(F192="SELL",E192="Equity Delivery"),Settings!$C$13,0))</f>
        <v/>
      </c>
      <c r="R192" s="3">
        <f>IF(G192="","",SUM(L192:Q192))</f>
        <v/>
      </c>
      <c r="S192" s="3">
        <f>IF(G192="","",IF(F192="BUY",-(K192+R192),K192-R192))</f>
        <v/>
      </c>
    </row>
    <row r="193">
      <c r="A193">
        <f>IF(G193="","",ROW()-1)</f>
        <v/>
      </c>
      <c r="B193" s="6" t="n"/>
      <c r="G193" s="3" t="n"/>
      <c r="H193" s="3" t="n"/>
      <c r="K193" s="3">
        <f>IF(G193="","",G193*H193)</f>
        <v/>
      </c>
      <c r="L193" s="3">
        <f>IF(G193="","",Settings!$C$5)</f>
        <v/>
      </c>
      <c r="M193" s="3">
        <f>IF(G193="","",IF(F193="SELL",K193*IF(E193="Equity Intraday",Settings!$C$8,Settings!$C$7),0))</f>
        <v/>
      </c>
      <c r="N193" s="3">
        <f>IF(G193="","",K193*(Settings!$C$9+Settings!$C$10))</f>
        <v/>
      </c>
      <c r="O193" s="3">
        <f>IF(G193="","",IF(F193="BUY",K193*Settings!$C$11,0))</f>
        <v/>
      </c>
      <c r="P193" s="3">
        <f>IF(G193="","",L193*Settings!$C$6)</f>
        <v/>
      </c>
      <c r="Q193" s="3">
        <f>IF(G193="","",IF(AND(F193="SELL",E193="Equity Delivery"),Settings!$C$13,0))</f>
        <v/>
      </c>
      <c r="R193" s="3">
        <f>IF(G193="","",SUM(L193:Q193))</f>
        <v/>
      </c>
      <c r="S193" s="3">
        <f>IF(G193="","",IF(F193="BUY",-(K193+R193),K193-R193))</f>
        <v/>
      </c>
    </row>
    <row r="194">
      <c r="A194">
        <f>IF(G194="","",ROW()-1)</f>
        <v/>
      </c>
      <c r="B194" s="6" t="n"/>
      <c r="G194" s="3" t="n"/>
      <c r="H194" s="3" t="n"/>
      <c r="K194" s="3">
        <f>IF(G194="","",G194*H194)</f>
        <v/>
      </c>
      <c r="L194" s="3">
        <f>IF(G194="","",Settings!$C$5)</f>
        <v/>
      </c>
      <c r="M194" s="3">
        <f>IF(G194="","",IF(F194="SELL",K194*IF(E194="Equity Intraday",Settings!$C$8,Settings!$C$7),0))</f>
        <v/>
      </c>
      <c r="N194" s="3">
        <f>IF(G194="","",K194*(Settings!$C$9+Settings!$C$10))</f>
        <v/>
      </c>
      <c r="O194" s="3">
        <f>IF(G194="","",IF(F194="BUY",K194*Settings!$C$11,0))</f>
        <v/>
      </c>
      <c r="P194" s="3">
        <f>IF(G194="","",L194*Settings!$C$6)</f>
        <v/>
      </c>
      <c r="Q194" s="3">
        <f>IF(G194="","",IF(AND(F194="SELL",E194="Equity Delivery"),Settings!$C$13,0))</f>
        <v/>
      </c>
      <c r="R194" s="3">
        <f>IF(G194="","",SUM(L194:Q194))</f>
        <v/>
      </c>
      <c r="S194" s="3">
        <f>IF(G194="","",IF(F194="BUY",-(K194+R194),K194-R194))</f>
        <v/>
      </c>
    </row>
    <row r="195">
      <c r="A195">
        <f>IF(G195="","",ROW()-1)</f>
        <v/>
      </c>
      <c r="B195" s="6" t="n"/>
      <c r="G195" s="3" t="n"/>
      <c r="H195" s="3" t="n"/>
      <c r="K195" s="3">
        <f>IF(G195="","",G195*H195)</f>
        <v/>
      </c>
      <c r="L195" s="3">
        <f>IF(G195="","",Settings!$C$5)</f>
        <v/>
      </c>
      <c r="M195" s="3">
        <f>IF(G195="","",IF(F195="SELL",K195*IF(E195="Equity Intraday",Settings!$C$8,Settings!$C$7),0))</f>
        <v/>
      </c>
      <c r="N195" s="3">
        <f>IF(G195="","",K195*(Settings!$C$9+Settings!$C$10))</f>
        <v/>
      </c>
      <c r="O195" s="3">
        <f>IF(G195="","",IF(F195="BUY",K195*Settings!$C$11,0))</f>
        <v/>
      </c>
      <c r="P195" s="3">
        <f>IF(G195="","",L195*Settings!$C$6)</f>
        <v/>
      </c>
      <c r="Q195" s="3">
        <f>IF(G195="","",IF(AND(F195="SELL",E195="Equity Delivery"),Settings!$C$13,0))</f>
        <v/>
      </c>
      <c r="R195" s="3">
        <f>IF(G195="","",SUM(L195:Q195))</f>
        <v/>
      </c>
      <c r="S195" s="3">
        <f>IF(G195="","",IF(F195="BUY",-(K195+R195),K195-R195))</f>
        <v/>
      </c>
    </row>
    <row r="196">
      <c r="A196">
        <f>IF(G196="","",ROW()-1)</f>
        <v/>
      </c>
      <c r="B196" s="6" t="n"/>
      <c r="G196" s="3" t="n"/>
      <c r="H196" s="3" t="n"/>
      <c r="K196" s="3">
        <f>IF(G196="","",G196*H196)</f>
        <v/>
      </c>
      <c r="L196" s="3">
        <f>IF(G196="","",Settings!$C$5)</f>
        <v/>
      </c>
      <c r="M196" s="3">
        <f>IF(G196="","",IF(F196="SELL",K196*IF(E196="Equity Intraday",Settings!$C$8,Settings!$C$7),0))</f>
        <v/>
      </c>
      <c r="N196" s="3">
        <f>IF(G196="","",K196*(Settings!$C$9+Settings!$C$10))</f>
        <v/>
      </c>
      <c r="O196" s="3">
        <f>IF(G196="","",IF(F196="BUY",K196*Settings!$C$11,0))</f>
        <v/>
      </c>
      <c r="P196" s="3">
        <f>IF(G196="","",L196*Settings!$C$6)</f>
        <v/>
      </c>
      <c r="Q196" s="3">
        <f>IF(G196="","",IF(AND(F196="SELL",E196="Equity Delivery"),Settings!$C$13,0))</f>
        <v/>
      </c>
      <c r="R196" s="3">
        <f>IF(G196="","",SUM(L196:Q196))</f>
        <v/>
      </c>
      <c r="S196" s="3">
        <f>IF(G196="","",IF(F196="BUY",-(K196+R196),K196-R196))</f>
        <v/>
      </c>
    </row>
    <row r="197">
      <c r="A197">
        <f>IF(G197="","",ROW()-1)</f>
        <v/>
      </c>
      <c r="B197" s="6" t="n"/>
      <c r="G197" s="3" t="n"/>
      <c r="H197" s="3" t="n"/>
      <c r="K197" s="3">
        <f>IF(G197="","",G197*H197)</f>
        <v/>
      </c>
      <c r="L197" s="3">
        <f>IF(G197="","",Settings!$C$5)</f>
        <v/>
      </c>
      <c r="M197" s="3">
        <f>IF(G197="","",IF(F197="SELL",K197*IF(E197="Equity Intraday",Settings!$C$8,Settings!$C$7),0))</f>
        <v/>
      </c>
      <c r="N197" s="3">
        <f>IF(G197="","",K197*(Settings!$C$9+Settings!$C$10))</f>
        <v/>
      </c>
      <c r="O197" s="3">
        <f>IF(G197="","",IF(F197="BUY",K197*Settings!$C$11,0))</f>
        <v/>
      </c>
      <c r="P197" s="3">
        <f>IF(G197="","",L197*Settings!$C$6)</f>
        <v/>
      </c>
      <c r="Q197" s="3">
        <f>IF(G197="","",IF(AND(F197="SELL",E197="Equity Delivery"),Settings!$C$13,0))</f>
        <v/>
      </c>
      <c r="R197" s="3">
        <f>IF(G197="","",SUM(L197:Q197))</f>
        <v/>
      </c>
      <c r="S197" s="3">
        <f>IF(G197="","",IF(F197="BUY",-(K197+R197),K197-R197))</f>
        <v/>
      </c>
    </row>
    <row r="198">
      <c r="A198">
        <f>IF(G198="","",ROW()-1)</f>
        <v/>
      </c>
      <c r="B198" s="6" t="n"/>
      <c r="G198" s="3" t="n"/>
      <c r="H198" s="3" t="n"/>
      <c r="K198" s="3">
        <f>IF(G198="","",G198*H198)</f>
        <v/>
      </c>
      <c r="L198" s="3">
        <f>IF(G198="","",Settings!$C$5)</f>
        <v/>
      </c>
      <c r="M198" s="3">
        <f>IF(G198="","",IF(F198="SELL",K198*IF(E198="Equity Intraday",Settings!$C$8,Settings!$C$7),0))</f>
        <v/>
      </c>
      <c r="N198" s="3">
        <f>IF(G198="","",K198*(Settings!$C$9+Settings!$C$10))</f>
        <v/>
      </c>
      <c r="O198" s="3">
        <f>IF(G198="","",IF(F198="BUY",K198*Settings!$C$11,0))</f>
        <v/>
      </c>
      <c r="P198" s="3">
        <f>IF(G198="","",L198*Settings!$C$6)</f>
        <v/>
      </c>
      <c r="Q198" s="3">
        <f>IF(G198="","",IF(AND(F198="SELL",E198="Equity Delivery"),Settings!$C$13,0))</f>
        <v/>
      </c>
      <c r="R198" s="3">
        <f>IF(G198="","",SUM(L198:Q198))</f>
        <v/>
      </c>
      <c r="S198" s="3">
        <f>IF(G198="","",IF(F198="BUY",-(K198+R198),K198-R198))</f>
        <v/>
      </c>
    </row>
    <row r="199">
      <c r="A199">
        <f>IF(G199="","",ROW()-1)</f>
        <v/>
      </c>
      <c r="B199" s="6" t="n"/>
      <c r="G199" s="3" t="n"/>
      <c r="H199" s="3" t="n"/>
      <c r="K199" s="3">
        <f>IF(G199="","",G199*H199)</f>
        <v/>
      </c>
      <c r="L199" s="3">
        <f>IF(G199="","",Settings!$C$5)</f>
        <v/>
      </c>
      <c r="M199" s="3">
        <f>IF(G199="","",IF(F199="SELL",K199*IF(E199="Equity Intraday",Settings!$C$8,Settings!$C$7),0))</f>
        <v/>
      </c>
      <c r="N199" s="3">
        <f>IF(G199="","",K199*(Settings!$C$9+Settings!$C$10))</f>
        <v/>
      </c>
      <c r="O199" s="3">
        <f>IF(G199="","",IF(F199="BUY",K199*Settings!$C$11,0))</f>
        <v/>
      </c>
      <c r="P199" s="3">
        <f>IF(G199="","",L199*Settings!$C$6)</f>
        <v/>
      </c>
      <c r="Q199" s="3">
        <f>IF(G199="","",IF(AND(F199="SELL",E199="Equity Delivery"),Settings!$C$13,0))</f>
        <v/>
      </c>
      <c r="R199" s="3">
        <f>IF(G199="","",SUM(L199:Q199))</f>
        <v/>
      </c>
      <c r="S199" s="3">
        <f>IF(G199="","",IF(F199="BUY",-(K199+R199),K199-R199))</f>
        <v/>
      </c>
    </row>
    <row r="200">
      <c r="A200">
        <f>IF(G200="","",ROW()-1)</f>
        <v/>
      </c>
      <c r="B200" s="6" t="n"/>
      <c r="G200" s="3" t="n"/>
      <c r="H200" s="3" t="n"/>
      <c r="K200" s="3">
        <f>IF(G200="","",G200*H200)</f>
        <v/>
      </c>
      <c r="L200" s="3">
        <f>IF(G200="","",Settings!$C$5)</f>
        <v/>
      </c>
      <c r="M200" s="3">
        <f>IF(G200="","",IF(F200="SELL",K200*IF(E200="Equity Intraday",Settings!$C$8,Settings!$C$7),0))</f>
        <v/>
      </c>
      <c r="N200" s="3">
        <f>IF(G200="","",K200*(Settings!$C$9+Settings!$C$10))</f>
        <v/>
      </c>
      <c r="O200" s="3">
        <f>IF(G200="","",IF(F200="BUY",K200*Settings!$C$11,0))</f>
        <v/>
      </c>
      <c r="P200" s="3">
        <f>IF(G200="","",L200*Settings!$C$6)</f>
        <v/>
      </c>
      <c r="Q200" s="3">
        <f>IF(G200="","",IF(AND(F200="SELL",E200="Equity Delivery"),Settings!$C$13,0))</f>
        <v/>
      </c>
      <c r="R200" s="3">
        <f>IF(G200="","",SUM(L200:Q200))</f>
        <v/>
      </c>
      <c r="S200" s="3">
        <f>IF(G200="","",IF(F200="BUY",-(K200+R200),K200-R200))</f>
        <v/>
      </c>
    </row>
    <row r="201">
      <c r="A201">
        <f>IF(G201="","",ROW()-1)</f>
        <v/>
      </c>
      <c r="B201" s="6" t="n"/>
      <c r="G201" s="3" t="n"/>
      <c r="H201" s="3" t="n"/>
      <c r="K201" s="3">
        <f>IF(G201="","",G201*H201)</f>
        <v/>
      </c>
      <c r="L201" s="3">
        <f>IF(G201="","",Settings!$C$5)</f>
        <v/>
      </c>
      <c r="M201" s="3">
        <f>IF(G201="","",IF(F201="SELL",K201*IF(E201="Equity Intraday",Settings!$C$8,Settings!$C$7),0))</f>
        <v/>
      </c>
      <c r="N201" s="3">
        <f>IF(G201="","",K201*(Settings!$C$9+Settings!$C$10))</f>
        <v/>
      </c>
      <c r="O201" s="3">
        <f>IF(G201="","",IF(F201="BUY",K201*Settings!$C$11,0))</f>
        <v/>
      </c>
      <c r="P201" s="3">
        <f>IF(G201="","",L201*Settings!$C$6)</f>
        <v/>
      </c>
      <c r="Q201" s="3">
        <f>IF(G201="","",IF(AND(F201="SELL",E201="Equity Delivery"),Settings!$C$13,0))</f>
        <v/>
      </c>
      <c r="R201" s="3">
        <f>IF(G201="","",SUM(L201:Q201))</f>
        <v/>
      </c>
      <c r="S201" s="3">
        <f>IF(G201="","",IF(F201="BUY",-(K201+R201),K201-R201))</f>
        <v/>
      </c>
    </row>
    <row r="202">
      <c r="A202">
        <f>IF(G202="","",ROW()-1)</f>
        <v/>
      </c>
      <c r="B202" s="6" t="n"/>
      <c r="G202" s="3" t="n"/>
      <c r="H202" s="3" t="n"/>
      <c r="K202" s="3">
        <f>IF(G202="","",G202*H202)</f>
        <v/>
      </c>
      <c r="L202" s="3">
        <f>IF(G202="","",Settings!$C$5)</f>
        <v/>
      </c>
      <c r="M202" s="3">
        <f>IF(G202="","",IF(F202="SELL",K202*IF(E202="Equity Intraday",Settings!$C$8,Settings!$C$7),0))</f>
        <v/>
      </c>
      <c r="N202" s="3">
        <f>IF(G202="","",K202*(Settings!$C$9+Settings!$C$10))</f>
        <v/>
      </c>
      <c r="O202" s="3">
        <f>IF(G202="","",IF(F202="BUY",K202*Settings!$C$11,0))</f>
        <v/>
      </c>
      <c r="P202" s="3">
        <f>IF(G202="","",L202*Settings!$C$6)</f>
        <v/>
      </c>
      <c r="Q202" s="3">
        <f>IF(G202="","",IF(AND(F202="SELL",E202="Equity Delivery"),Settings!$C$13,0))</f>
        <v/>
      </c>
      <c r="R202" s="3">
        <f>IF(G202="","",SUM(L202:Q202))</f>
        <v/>
      </c>
      <c r="S202" s="3">
        <f>IF(G202="","",IF(F202="BUY",-(K202+R202),K202-R202))</f>
        <v/>
      </c>
    </row>
    <row r="203">
      <c r="A203">
        <f>IF(G203="","",ROW()-1)</f>
        <v/>
      </c>
      <c r="B203" s="6" t="n"/>
      <c r="G203" s="3" t="n"/>
      <c r="H203" s="3" t="n"/>
      <c r="K203" s="3">
        <f>IF(G203="","",G203*H203)</f>
        <v/>
      </c>
      <c r="L203" s="3">
        <f>IF(G203="","",Settings!$C$5)</f>
        <v/>
      </c>
      <c r="M203" s="3">
        <f>IF(G203="","",IF(F203="SELL",K203*IF(E203="Equity Intraday",Settings!$C$8,Settings!$C$7),0))</f>
        <v/>
      </c>
      <c r="N203" s="3">
        <f>IF(G203="","",K203*(Settings!$C$9+Settings!$C$10))</f>
        <v/>
      </c>
      <c r="O203" s="3">
        <f>IF(G203="","",IF(F203="BUY",K203*Settings!$C$11,0))</f>
        <v/>
      </c>
      <c r="P203" s="3">
        <f>IF(G203="","",L203*Settings!$C$6)</f>
        <v/>
      </c>
      <c r="Q203" s="3">
        <f>IF(G203="","",IF(AND(F203="SELL",E203="Equity Delivery"),Settings!$C$13,0))</f>
        <v/>
      </c>
      <c r="R203" s="3">
        <f>IF(G203="","",SUM(L203:Q203))</f>
        <v/>
      </c>
      <c r="S203" s="3">
        <f>IF(G203="","",IF(F203="BUY",-(K203+R203),K203-R203))</f>
        <v/>
      </c>
    </row>
    <row r="204">
      <c r="A204">
        <f>IF(G204="","",ROW()-1)</f>
        <v/>
      </c>
      <c r="B204" s="6" t="n"/>
      <c r="G204" s="3" t="n"/>
      <c r="H204" s="3" t="n"/>
      <c r="K204" s="3">
        <f>IF(G204="","",G204*H204)</f>
        <v/>
      </c>
      <c r="L204" s="3">
        <f>IF(G204="","",Settings!$C$5)</f>
        <v/>
      </c>
      <c r="M204" s="3">
        <f>IF(G204="","",IF(F204="SELL",K204*IF(E204="Equity Intraday",Settings!$C$8,Settings!$C$7),0))</f>
        <v/>
      </c>
      <c r="N204" s="3">
        <f>IF(G204="","",K204*(Settings!$C$9+Settings!$C$10))</f>
        <v/>
      </c>
      <c r="O204" s="3">
        <f>IF(G204="","",IF(F204="BUY",K204*Settings!$C$11,0))</f>
        <v/>
      </c>
      <c r="P204" s="3">
        <f>IF(G204="","",L204*Settings!$C$6)</f>
        <v/>
      </c>
      <c r="Q204" s="3">
        <f>IF(G204="","",IF(AND(F204="SELL",E204="Equity Delivery"),Settings!$C$13,0))</f>
        <v/>
      </c>
      <c r="R204" s="3">
        <f>IF(G204="","",SUM(L204:Q204))</f>
        <v/>
      </c>
      <c r="S204" s="3">
        <f>IF(G204="","",IF(F204="BUY",-(K204+R204),K204-R204))</f>
        <v/>
      </c>
    </row>
    <row r="205">
      <c r="A205">
        <f>IF(G205="","",ROW()-1)</f>
        <v/>
      </c>
      <c r="B205" s="6" t="n"/>
      <c r="G205" s="3" t="n"/>
      <c r="H205" s="3" t="n"/>
      <c r="K205" s="3">
        <f>IF(G205="","",G205*H205)</f>
        <v/>
      </c>
      <c r="L205" s="3">
        <f>IF(G205="","",Settings!$C$5)</f>
        <v/>
      </c>
      <c r="M205" s="3">
        <f>IF(G205="","",IF(F205="SELL",K205*IF(E205="Equity Intraday",Settings!$C$8,Settings!$C$7),0))</f>
        <v/>
      </c>
      <c r="N205" s="3">
        <f>IF(G205="","",K205*(Settings!$C$9+Settings!$C$10))</f>
        <v/>
      </c>
      <c r="O205" s="3">
        <f>IF(G205="","",IF(F205="BUY",K205*Settings!$C$11,0))</f>
        <v/>
      </c>
      <c r="P205" s="3">
        <f>IF(G205="","",L205*Settings!$C$6)</f>
        <v/>
      </c>
      <c r="Q205" s="3">
        <f>IF(G205="","",IF(AND(F205="SELL",E205="Equity Delivery"),Settings!$C$13,0))</f>
        <v/>
      </c>
      <c r="R205" s="3">
        <f>IF(G205="","",SUM(L205:Q205))</f>
        <v/>
      </c>
      <c r="S205" s="3">
        <f>IF(G205="","",IF(F205="BUY",-(K205+R205),K205-R205))</f>
        <v/>
      </c>
    </row>
    <row r="206">
      <c r="A206">
        <f>IF(G206="","",ROW()-1)</f>
        <v/>
      </c>
      <c r="B206" s="6" t="n"/>
      <c r="G206" s="3" t="n"/>
      <c r="H206" s="3" t="n"/>
      <c r="K206" s="3">
        <f>IF(G206="","",G206*H206)</f>
        <v/>
      </c>
      <c r="L206" s="3">
        <f>IF(G206="","",Settings!$C$5)</f>
        <v/>
      </c>
      <c r="M206" s="3">
        <f>IF(G206="","",IF(F206="SELL",K206*IF(E206="Equity Intraday",Settings!$C$8,Settings!$C$7),0))</f>
        <v/>
      </c>
      <c r="N206" s="3">
        <f>IF(G206="","",K206*(Settings!$C$9+Settings!$C$10))</f>
        <v/>
      </c>
      <c r="O206" s="3">
        <f>IF(G206="","",IF(F206="BUY",K206*Settings!$C$11,0))</f>
        <v/>
      </c>
      <c r="P206" s="3">
        <f>IF(G206="","",L206*Settings!$C$6)</f>
        <v/>
      </c>
      <c r="Q206" s="3">
        <f>IF(G206="","",IF(AND(F206="SELL",E206="Equity Delivery"),Settings!$C$13,0))</f>
        <v/>
      </c>
      <c r="R206" s="3">
        <f>IF(G206="","",SUM(L206:Q206))</f>
        <v/>
      </c>
      <c r="S206" s="3">
        <f>IF(G206="","",IF(F206="BUY",-(K206+R206),K206-R206))</f>
        <v/>
      </c>
    </row>
    <row r="207">
      <c r="A207">
        <f>IF(G207="","",ROW()-1)</f>
        <v/>
      </c>
      <c r="B207" s="6" t="n"/>
      <c r="G207" s="3" t="n"/>
      <c r="H207" s="3" t="n"/>
      <c r="K207" s="3">
        <f>IF(G207="","",G207*H207)</f>
        <v/>
      </c>
      <c r="L207" s="3">
        <f>IF(G207="","",Settings!$C$5)</f>
        <v/>
      </c>
      <c r="M207" s="3">
        <f>IF(G207="","",IF(F207="SELL",K207*IF(E207="Equity Intraday",Settings!$C$8,Settings!$C$7),0))</f>
        <v/>
      </c>
      <c r="N207" s="3">
        <f>IF(G207="","",K207*(Settings!$C$9+Settings!$C$10))</f>
        <v/>
      </c>
      <c r="O207" s="3">
        <f>IF(G207="","",IF(F207="BUY",K207*Settings!$C$11,0))</f>
        <v/>
      </c>
      <c r="P207" s="3">
        <f>IF(G207="","",L207*Settings!$C$6)</f>
        <v/>
      </c>
      <c r="Q207" s="3">
        <f>IF(G207="","",IF(AND(F207="SELL",E207="Equity Delivery"),Settings!$C$13,0))</f>
        <v/>
      </c>
      <c r="R207" s="3">
        <f>IF(G207="","",SUM(L207:Q207))</f>
        <v/>
      </c>
      <c r="S207" s="3">
        <f>IF(G207="","",IF(F207="BUY",-(K207+R207),K207-R207))</f>
        <v/>
      </c>
    </row>
    <row r="208">
      <c r="A208">
        <f>IF(G208="","",ROW()-1)</f>
        <v/>
      </c>
      <c r="B208" s="6" t="n"/>
      <c r="G208" s="3" t="n"/>
      <c r="H208" s="3" t="n"/>
      <c r="K208" s="3">
        <f>IF(G208="","",G208*H208)</f>
        <v/>
      </c>
      <c r="L208" s="3">
        <f>IF(G208="","",Settings!$C$5)</f>
        <v/>
      </c>
      <c r="M208" s="3">
        <f>IF(G208="","",IF(F208="SELL",K208*IF(E208="Equity Intraday",Settings!$C$8,Settings!$C$7),0))</f>
        <v/>
      </c>
      <c r="N208" s="3">
        <f>IF(G208="","",K208*(Settings!$C$9+Settings!$C$10))</f>
        <v/>
      </c>
      <c r="O208" s="3">
        <f>IF(G208="","",IF(F208="BUY",K208*Settings!$C$11,0))</f>
        <v/>
      </c>
      <c r="P208" s="3">
        <f>IF(G208="","",L208*Settings!$C$6)</f>
        <v/>
      </c>
      <c r="Q208" s="3">
        <f>IF(G208="","",IF(AND(F208="SELL",E208="Equity Delivery"),Settings!$C$13,0))</f>
        <v/>
      </c>
      <c r="R208" s="3">
        <f>IF(G208="","",SUM(L208:Q208))</f>
        <v/>
      </c>
      <c r="S208" s="3">
        <f>IF(G208="","",IF(F208="BUY",-(K208+R208),K208-R208))</f>
        <v/>
      </c>
    </row>
    <row r="209">
      <c r="A209">
        <f>IF(G209="","",ROW()-1)</f>
        <v/>
      </c>
      <c r="B209" s="6" t="n"/>
      <c r="G209" s="3" t="n"/>
      <c r="H209" s="3" t="n"/>
      <c r="K209" s="3">
        <f>IF(G209="","",G209*H209)</f>
        <v/>
      </c>
      <c r="L209" s="3">
        <f>IF(G209="","",Settings!$C$5)</f>
        <v/>
      </c>
      <c r="M209" s="3">
        <f>IF(G209="","",IF(F209="SELL",K209*IF(E209="Equity Intraday",Settings!$C$8,Settings!$C$7),0))</f>
        <v/>
      </c>
      <c r="N209" s="3">
        <f>IF(G209="","",K209*(Settings!$C$9+Settings!$C$10))</f>
        <v/>
      </c>
      <c r="O209" s="3">
        <f>IF(G209="","",IF(F209="BUY",K209*Settings!$C$11,0))</f>
        <v/>
      </c>
      <c r="P209" s="3">
        <f>IF(G209="","",L209*Settings!$C$6)</f>
        <v/>
      </c>
      <c r="Q209" s="3">
        <f>IF(G209="","",IF(AND(F209="SELL",E209="Equity Delivery"),Settings!$C$13,0))</f>
        <v/>
      </c>
      <c r="R209" s="3">
        <f>IF(G209="","",SUM(L209:Q209))</f>
        <v/>
      </c>
      <c r="S209" s="3">
        <f>IF(G209="","",IF(F209="BUY",-(K209+R209),K209-R209))</f>
        <v/>
      </c>
    </row>
    <row r="210">
      <c r="A210">
        <f>IF(G210="","",ROW()-1)</f>
        <v/>
      </c>
      <c r="B210" s="6" t="n"/>
      <c r="G210" s="3" t="n"/>
      <c r="H210" s="3" t="n"/>
      <c r="K210" s="3">
        <f>IF(G210="","",G210*H210)</f>
        <v/>
      </c>
      <c r="L210" s="3">
        <f>IF(G210="","",Settings!$C$5)</f>
        <v/>
      </c>
      <c r="M210" s="3">
        <f>IF(G210="","",IF(F210="SELL",K210*IF(E210="Equity Intraday",Settings!$C$8,Settings!$C$7),0))</f>
        <v/>
      </c>
      <c r="N210" s="3">
        <f>IF(G210="","",K210*(Settings!$C$9+Settings!$C$10))</f>
        <v/>
      </c>
      <c r="O210" s="3">
        <f>IF(G210="","",IF(F210="BUY",K210*Settings!$C$11,0))</f>
        <v/>
      </c>
      <c r="P210" s="3">
        <f>IF(G210="","",L210*Settings!$C$6)</f>
        <v/>
      </c>
      <c r="Q210" s="3">
        <f>IF(G210="","",IF(AND(F210="SELL",E210="Equity Delivery"),Settings!$C$13,0))</f>
        <v/>
      </c>
      <c r="R210" s="3">
        <f>IF(G210="","",SUM(L210:Q210))</f>
        <v/>
      </c>
      <c r="S210" s="3">
        <f>IF(G210="","",IF(F210="BUY",-(K210+R210),K210-R210))</f>
        <v/>
      </c>
    </row>
    <row r="211">
      <c r="A211">
        <f>IF(G211="","",ROW()-1)</f>
        <v/>
      </c>
      <c r="B211" s="6" t="n"/>
      <c r="G211" s="3" t="n"/>
      <c r="H211" s="3" t="n"/>
      <c r="K211" s="3">
        <f>IF(G211="","",G211*H211)</f>
        <v/>
      </c>
      <c r="L211" s="3">
        <f>IF(G211="","",Settings!$C$5)</f>
        <v/>
      </c>
      <c r="M211" s="3">
        <f>IF(G211="","",IF(F211="SELL",K211*IF(E211="Equity Intraday",Settings!$C$8,Settings!$C$7),0))</f>
        <v/>
      </c>
      <c r="N211" s="3">
        <f>IF(G211="","",K211*(Settings!$C$9+Settings!$C$10))</f>
        <v/>
      </c>
      <c r="O211" s="3">
        <f>IF(G211="","",IF(F211="BUY",K211*Settings!$C$11,0))</f>
        <v/>
      </c>
      <c r="P211" s="3">
        <f>IF(G211="","",L211*Settings!$C$6)</f>
        <v/>
      </c>
      <c r="Q211" s="3">
        <f>IF(G211="","",IF(AND(F211="SELL",E211="Equity Delivery"),Settings!$C$13,0))</f>
        <v/>
      </c>
      <c r="R211" s="3">
        <f>IF(G211="","",SUM(L211:Q211))</f>
        <v/>
      </c>
      <c r="S211" s="3">
        <f>IF(G211="","",IF(F211="BUY",-(K211+R211),K211-R211))</f>
        <v/>
      </c>
    </row>
    <row r="212">
      <c r="A212">
        <f>IF(G212="","",ROW()-1)</f>
        <v/>
      </c>
      <c r="B212" s="6" t="n"/>
      <c r="G212" s="3" t="n"/>
      <c r="H212" s="3" t="n"/>
      <c r="K212" s="3">
        <f>IF(G212="","",G212*H212)</f>
        <v/>
      </c>
      <c r="L212" s="3">
        <f>IF(G212="","",Settings!$C$5)</f>
        <v/>
      </c>
      <c r="M212" s="3">
        <f>IF(G212="","",IF(F212="SELL",K212*IF(E212="Equity Intraday",Settings!$C$8,Settings!$C$7),0))</f>
        <v/>
      </c>
      <c r="N212" s="3">
        <f>IF(G212="","",K212*(Settings!$C$9+Settings!$C$10))</f>
        <v/>
      </c>
      <c r="O212" s="3">
        <f>IF(G212="","",IF(F212="BUY",K212*Settings!$C$11,0))</f>
        <v/>
      </c>
      <c r="P212" s="3">
        <f>IF(G212="","",L212*Settings!$C$6)</f>
        <v/>
      </c>
      <c r="Q212" s="3">
        <f>IF(G212="","",IF(AND(F212="SELL",E212="Equity Delivery"),Settings!$C$13,0))</f>
        <v/>
      </c>
      <c r="R212" s="3">
        <f>IF(G212="","",SUM(L212:Q212))</f>
        <v/>
      </c>
      <c r="S212" s="3">
        <f>IF(G212="","",IF(F212="BUY",-(K212+R212),K212-R212))</f>
        <v/>
      </c>
    </row>
    <row r="213">
      <c r="A213">
        <f>IF(G213="","",ROW()-1)</f>
        <v/>
      </c>
      <c r="B213" s="6" t="n"/>
      <c r="G213" s="3" t="n"/>
      <c r="H213" s="3" t="n"/>
      <c r="K213" s="3">
        <f>IF(G213="","",G213*H213)</f>
        <v/>
      </c>
      <c r="L213" s="3">
        <f>IF(G213="","",Settings!$C$5)</f>
        <v/>
      </c>
      <c r="M213" s="3">
        <f>IF(G213="","",IF(F213="SELL",K213*IF(E213="Equity Intraday",Settings!$C$8,Settings!$C$7),0))</f>
        <v/>
      </c>
      <c r="N213" s="3">
        <f>IF(G213="","",K213*(Settings!$C$9+Settings!$C$10))</f>
        <v/>
      </c>
      <c r="O213" s="3">
        <f>IF(G213="","",IF(F213="BUY",K213*Settings!$C$11,0))</f>
        <v/>
      </c>
      <c r="P213" s="3">
        <f>IF(G213="","",L213*Settings!$C$6)</f>
        <v/>
      </c>
      <c r="Q213" s="3">
        <f>IF(G213="","",IF(AND(F213="SELL",E213="Equity Delivery"),Settings!$C$13,0))</f>
        <v/>
      </c>
      <c r="R213" s="3">
        <f>IF(G213="","",SUM(L213:Q213))</f>
        <v/>
      </c>
      <c r="S213" s="3">
        <f>IF(G213="","",IF(F213="BUY",-(K213+R213),K213-R213))</f>
        <v/>
      </c>
    </row>
    <row r="214">
      <c r="A214">
        <f>IF(G214="","",ROW()-1)</f>
        <v/>
      </c>
      <c r="B214" s="6" t="n"/>
      <c r="G214" s="3" t="n"/>
      <c r="H214" s="3" t="n"/>
      <c r="K214" s="3">
        <f>IF(G214="","",G214*H214)</f>
        <v/>
      </c>
      <c r="L214" s="3">
        <f>IF(G214="","",Settings!$C$5)</f>
        <v/>
      </c>
      <c r="M214" s="3">
        <f>IF(G214="","",IF(F214="SELL",K214*IF(E214="Equity Intraday",Settings!$C$8,Settings!$C$7),0))</f>
        <v/>
      </c>
      <c r="N214" s="3">
        <f>IF(G214="","",K214*(Settings!$C$9+Settings!$C$10))</f>
        <v/>
      </c>
      <c r="O214" s="3">
        <f>IF(G214="","",IF(F214="BUY",K214*Settings!$C$11,0))</f>
        <v/>
      </c>
      <c r="P214" s="3">
        <f>IF(G214="","",L214*Settings!$C$6)</f>
        <v/>
      </c>
      <c r="Q214" s="3">
        <f>IF(G214="","",IF(AND(F214="SELL",E214="Equity Delivery"),Settings!$C$13,0))</f>
        <v/>
      </c>
      <c r="R214" s="3">
        <f>IF(G214="","",SUM(L214:Q214))</f>
        <v/>
      </c>
      <c r="S214" s="3">
        <f>IF(G214="","",IF(F214="BUY",-(K214+R214),K214-R214))</f>
        <v/>
      </c>
    </row>
    <row r="215">
      <c r="A215">
        <f>IF(G215="","",ROW()-1)</f>
        <v/>
      </c>
      <c r="B215" s="6" t="n"/>
      <c r="G215" s="3" t="n"/>
      <c r="H215" s="3" t="n"/>
      <c r="K215" s="3">
        <f>IF(G215="","",G215*H215)</f>
        <v/>
      </c>
      <c r="L215" s="3">
        <f>IF(G215="","",Settings!$C$5)</f>
        <v/>
      </c>
      <c r="M215" s="3">
        <f>IF(G215="","",IF(F215="SELL",K215*IF(E215="Equity Intraday",Settings!$C$8,Settings!$C$7),0))</f>
        <v/>
      </c>
      <c r="N215" s="3">
        <f>IF(G215="","",K215*(Settings!$C$9+Settings!$C$10))</f>
        <v/>
      </c>
      <c r="O215" s="3">
        <f>IF(G215="","",IF(F215="BUY",K215*Settings!$C$11,0))</f>
        <v/>
      </c>
      <c r="P215" s="3">
        <f>IF(G215="","",L215*Settings!$C$6)</f>
        <v/>
      </c>
      <c r="Q215" s="3">
        <f>IF(G215="","",IF(AND(F215="SELL",E215="Equity Delivery"),Settings!$C$13,0))</f>
        <v/>
      </c>
      <c r="R215" s="3">
        <f>IF(G215="","",SUM(L215:Q215))</f>
        <v/>
      </c>
      <c r="S215" s="3">
        <f>IF(G215="","",IF(F215="BUY",-(K215+R215),K215-R215))</f>
        <v/>
      </c>
    </row>
    <row r="216">
      <c r="A216">
        <f>IF(G216="","",ROW()-1)</f>
        <v/>
      </c>
      <c r="B216" s="6" t="n"/>
      <c r="G216" s="3" t="n"/>
      <c r="H216" s="3" t="n"/>
      <c r="K216" s="3">
        <f>IF(G216="","",G216*H216)</f>
        <v/>
      </c>
      <c r="L216" s="3">
        <f>IF(G216="","",Settings!$C$5)</f>
        <v/>
      </c>
      <c r="M216" s="3">
        <f>IF(G216="","",IF(F216="SELL",K216*IF(E216="Equity Intraday",Settings!$C$8,Settings!$C$7),0))</f>
        <v/>
      </c>
      <c r="N216" s="3">
        <f>IF(G216="","",K216*(Settings!$C$9+Settings!$C$10))</f>
        <v/>
      </c>
      <c r="O216" s="3">
        <f>IF(G216="","",IF(F216="BUY",K216*Settings!$C$11,0))</f>
        <v/>
      </c>
      <c r="P216" s="3">
        <f>IF(G216="","",L216*Settings!$C$6)</f>
        <v/>
      </c>
      <c r="Q216" s="3">
        <f>IF(G216="","",IF(AND(F216="SELL",E216="Equity Delivery"),Settings!$C$13,0))</f>
        <v/>
      </c>
      <c r="R216" s="3">
        <f>IF(G216="","",SUM(L216:Q216))</f>
        <v/>
      </c>
      <c r="S216" s="3">
        <f>IF(G216="","",IF(F216="BUY",-(K216+R216),K216-R216))</f>
        <v/>
      </c>
    </row>
    <row r="217">
      <c r="A217">
        <f>IF(G217="","",ROW()-1)</f>
        <v/>
      </c>
      <c r="B217" s="6" t="n"/>
      <c r="G217" s="3" t="n"/>
      <c r="H217" s="3" t="n"/>
      <c r="K217" s="3">
        <f>IF(G217="","",G217*H217)</f>
        <v/>
      </c>
      <c r="L217" s="3">
        <f>IF(G217="","",Settings!$C$5)</f>
        <v/>
      </c>
      <c r="M217" s="3">
        <f>IF(G217="","",IF(F217="SELL",K217*IF(E217="Equity Intraday",Settings!$C$8,Settings!$C$7),0))</f>
        <v/>
      </c>
      <c r="N217" s="3">
        <f>IF(G217="","",K217*(Settings!$C$9+Settings!$C$10))</f>
        <v/>
      </c>
      <c r="O217" s="3">
        <f>IF(G217="","",IF(F217="BUY",K217*Settings!$C$11,0))</f>
        <v/>
      </c>
      <c r="P217" s="3">
        <f>IF(G217="","",L217*Settings!$C$6)</f>
        <v/>
      </c>
      <c r="Q217" s="3">
        <f>IF(G217="","",IF(AND(F217="SELL",E217="Equity Delivery"),Settings!$C$13,0))</f>
        <v/>
      </c>
      <c r="R217" s="3">
        <f>IF(G217="","",SUM(L217:Q217))</f>
        <v/>
      </c>
      <c r="S217" s="3">
        <f>IF(G217="","",IF(F217="BUY",-(K217+R217),K217-R217))</f>
        <v/>
      </c>
    </row>
    <row r="218">
      <c r="A218">
        <f>IF(G218="","",ROW()-1)</f>
        <v/>
      </c>
      <c r="B218" s="6" t="n"/>
      <c r="G218" s="3" t="n"/>
      <c r="H218" s="3" t="n"/>
      <c r="K218" s="3">
        <f>IF(G218="","",G218*H218)</f>
        <v/>
      </c>
      <c r="L218" s="3">
        <f>IF(G218="","",Settings!$C$5)</f>
        <v/>
      </c>
      <c r="M218" s="3">
        <f>IF(G218="","",IF(F218="SELL",K218*IF(E218="Equity Intraday",Settings!$C$8,Settings!$C$7),0))</f>
        <v/>
      </c>
      <c r="N218" s="3">
        <f>IF(G218="","",K218*(Settings!$C$9+Settings!$C$10))</f>
        <v/>
      </c>
      <c r="O218" s="3">
        <f>IF(G218="","",IF(F218="BUY",K218*Settings!$C$11,0))</f>
        <v/>
      </c>
      <c r="P218" s="3">
        <f>IF(G218="","",L218*Settings!$C$6)</f>
        <v/>
      </c>
      <c r="Q218" s="3">
        <f>IF(G218="","",IF(AND(F218="SELL",E218="Equity Delivery"),Settings!$C$13,0))</f>
        <v/>
      </c>
      <c r="R218" s="3">
        <f>IF(G218="","",SUM(L218:Q218))</f>
        <v/>
      </c>
      <c r="S218" s="3">
        <f>IF(G218="","",IF(F218="BUY",-(K218+R218),K218-R218))</f>
        <v/>
      </c>
    </row>
    <row r="219">
      <c r="A219">
        <f>IF(G219="","",ROW()-1)</f>
        <v/>
      </c>
      <c r="B219" s="6" t="n"/>
      <c r="G219" s="3" t="n"/>
      <c r="H219" s="3" t="n"/>
      <c r="K219" s="3">
        <f>IF(G219="","",G219*H219)</f>
        <v/>
      </c>
      <c r="L219" s="3">
        <f>IF(G219="","",Settings!$C$5)</f>
        <v/>
      </c>
      <c r="M219" s="3">
        <f>IF(G219="","",IF(F219="SELL",K219*IF(E219="Equity Intraday",Settings!$C$8,Settings!$C$7),0))</f>
        <v/>
      </c>
      <c r="N219" s="3">
        <f>IF(G219="","",K219*(Settings!$C$9+Settings!$C$10))</f>
        <v/>
      </c>
      <c r="O219" s="3">
        <f>IF(G219="","",IF(F219="BUY",K219*Settings!$C$11,0))</f>
        <v/>
      </c>
      <c r="P219" s="3">
        <f>IF(G219="","",L219*Settings!$C$6)</f>
        <v/>
      </c>
      <c r="Q219" s="3">
        <f>IF(G219="","",IF(AND(F219="SELL",E219="Equity Delivery"),Settings!$C$13,0))</f>
        <v/>
      </c>
      <c r="R219" s="3">
        <f>IF(G219="","",SUM(L219:Q219))</f>
        <v/>
      </c>
      <c r="S219" s="3">
        <f>IF(G219="","",IF(F219="BUY",-(K219+R219),K219-R219))</f>
        <v/>
      </c>
    </row>
    <row r="220">
      <c r="A220">
        <f>IF(G220="","",ROW()-1)</f>
        <v/>
      </c>
      <c r="B220" s="6" t="n"/>
      <c r="G220" s="3" t="n"/>
      <c r="H220" s="3" t="n"/>
      <c r="K220" s="3">
        <f>IF(G220="","",G220*H220)</f>
        <v/>
      </c>
      <c r="L220" s="3">
        <f>IF(G220="","",Settings!$C$5)</f>
        <v/>
      </c>
      <c r="M220" s="3">
        <f>IF(G220="","",IF(F220="SELL",K220*IF(E220="Equity Intraday",Settings!$C$8,Settings!$C$7),0))</f>
        <v/>
      </c>
      <c r="N220" s="3">
        <f>IF(G220="","",K220*(Settings!$C$9+Settings!$C$10))</f>
        <v/>
      </c>
      <c r="O220" s="3">
        <f>IF(G220="","",IF(F220="BUY",K220*Settings!$C$11,0))</f>
        <v/>
      </c>
      <c r="P220" s="3">
        <f>IF(G220="","",L220*Settings!$C$6)</f>
        <v/>
      </c>
      <c r="Q220" s="3">
        <f>IF(G220="","",IF(AND(F220="SELL",E220="Equity Delivery"),Settings!$C$13,0))</f>
        <v/>
      </c>
      <c r="R220" s="3">
        <f>IF(G220="","",SUM(L220:Q220))</f>
        <v/>
      </c>
      <c r="S220" s="3">
        <f>IF(G220="","",IF(F220="BUY",-(K220+R220),K220-R220))</f>
        <v/>
      </c>
    </row>
    <row r="221">
      <c r="A221">
        <f>IF(G221="","",ROW()-1)</f>
        <v/>
      </c>
      <c r="B221" s="6" t="n"/>
      <c r="G221" s="3" t="n"/>
      <c r="H221" s="3" t="n"/>
      <c r="K221" s="3">
        <f>IF(G221="","",G221*H221)</f>
        <v/>
      </c>
      <c r="L221" s="3">
        <f>IF(G221="","",Settings!$C$5)</f>
        <v/>
      </c>
      <c r="M221" s="3">
        <f>IF(G221="","",IF(F221="SELL",K221*IF(E221="Equity Intraday",Settings!$C$8,Settings!$C$7),0))</f>
        <v/>
      </c>
      <c r="N221" s="3">
        <f>IF(G221="","",K221*(Settings!$C$9+Settings!$C$10))</f>
        <v/>
      </c>
      <c r="O221" s="3">
        <f>IF(G221="","",IF(F221="BUY",K221*Settings!$C$11,0))</f>
        <v/>
      </c>
      <c r="P221" s="3">
        <f>IF(G221="","",L221*Settings!$C$6)</f>
        <v/>
      </c>
      <c r="Q221" s="3">
        <f>IF(G221="","",IF(AND(F221="SELL",E221="Equity Delivery"),Settings!$C$13,0))</f>
        <v/>
      </c>
      <c r="R221" s="3">
        <f>IF(G221="","",SUM(L221:Q221))</f>
        <v/>
      </c>
      <c r="S221" s="3">
        <f>IF(G221="","",IF(F221="BUY",-(K221+R221),K221-R221))</f>
        <v/>
      </c>
    </row>
    <row r="222">
      <c r="A222">
        <f>IF(G222="","",ROW()-1)</f>
        <v/>
      </c>
      <c r="B222" s="6" t="n"/>
      <c r="G222" s="3" t="n"/>
      <c r="H222" s="3" t="n"/>
      <c r="K222" s="3">
        <f>IF(G222="","",G222*H222)</f>
        <v/>
      </c>
      <c r="L222" s="3">
        <f>IF(G222="","",Settings!$C$5)</f>
        <v/>
      </c>
      <c r="M222" s="3">
        <f>IF(G222="","",IF(F222="SELL",K222*IF(E222="Equity Intraday",Settings!$C$8,Settings!$C$7),0))</f>
        <v/>
      </c>
      <c r="N222" s="3">
        <f>IF(G222="","",K222*(Settings!$C$9+Settings!$C$10))</f>
        <v/>
      </c>
      <c r="O222" s="3">
        <f>IF(G222="","",IF(F222="BUY",K222*Settings!$C$11,0))</f>
        <v/>
      </c>
      <c r="P222" s="3">
        <f>IF(G222="","",L222*Settings!$C$6)</f>
        <v/>
      </c>
      <c r="Q222" s="3">
        <f>IF(G222="","",IF(AND(F222="SELL",E222="Equity Delivery"),Settings!$C$13,0))</f>
        <v/>
      </c>
      <c r="R222" s="3">
        <f>IF(G222="","",SUM(L222:Q222))</f>
        <v/>
      </c>
      <c r="S222" s="3">
        <f>IF(G222="","",IF(F222="BUY",-(K222+R222),K222-R222))</f>
        <v/>
      </c>
    </row>
    <row r="223">
      <c r="A223">
        <f>IF(G223="","",ROW()-1)</f>
        <v/>
      </c>
      <c r="B223" s="6" t="n"/>
      <c r="G223" s="3" t="n"/>
      <c r="H223" s="3" t="n"/>
      <c r="K223" s="3">
        <f>IF(G223="","",G223*H223)</f>
        <v/>
      </c>
      <c r="L223" s="3">
        <f>IF(G223="","",Settings!$C$5)</f>
        <v/>
      </c>
      <c r="M223" s="3">
        <f>IF(G223="","",IF(F223="SELL",K223*IF(E223="Equity Intraday",Settings!$C$8,Settings!$C$7),0))</f>
        <v/>
      </c>
      <c r="N223" s="3">
        <f>IF(G223="","",K223*(Settings!$C$9+Settings!$C$10))</f>
        <v/>
      </c>
      <c r="O223" s="3">
        <f>IF(G223="","",IF(F223="BUY",K223*Settings!$C$11,0))</f>
        <v/>
      </c>
      <c r="P223" s="3">
        <f>IF(G223="","",L223*Settings!$C$6)</f>
        <v/>
      </c>
      <c r="Q223" s="3">
        <f>IF(G223="","",IF(AND(F223="SELL",E223="Equity Delivery"),Settings!$C$13,0))</f>
        <v/>
      </c>
      <c r="R223" s="3">
        <f>IF(G223="","",SUM(L223:Q223))</f>
        <v/>
      </c>
      <c r="S223" s="3">
        <f>IF(G223="","",IF(F223="BUY",-(K223+R223),K223-R223))</f>
        <v/>
      </c>
    </row>
    <row r="224">
      <c r="A224">
        <f>IF(G224="","",ROW()-1)</f>
        <v/>
      </c>
      <c r="B224" s="6" t="n"/>
      <c r="G224" s="3" t="n"/>
      <c r="H224" s="3" t="n"/>
      <c r="K224" s="3">
        <f>IF(G224="","",G224*H224)</f>
        <v/>
      </c>
      <c r="L224" s="3">
        <f>IF(G224="","",Settings!$C$5)</f>
        <v/>
      </c>
      <c r="M224" s="3">
        <f>IF(G224="","",IF(F224="SELL",K224*IF(E224="Equity Intraday",Settings!$C$8,Settings!$C$7),0))</f>
        <v/>
      </c>
      <c r="N224" s="3">
        <f>IF(G224="","",K224*(Settings!$C$9+Settings!$C$10))</f>
        <v/>
      </c>
      <c r="O224" s="3">
        <f>IF(G224="","",IF(F224="BUY",K224*Settings!$C$11,0))</f>
        <v/>
      </c>
      <c r="P224" s="3">
        <f>IF(G224="","",L224*Settings!$C$6)</f>
        <v/>
      </c>
      <c r="Q224" s="3">
        <f>IF(G224="","",IF(AND(F224="SELL",E224="Equity Delivery"),Settings!$C$13,0))</f>
        <v/>
      </c>
      <c r="R224" s="3">
        <f>IF(G224="","",SUM(L224:Q224))</f>
        <v/>
      </c>
      <c r="S224" s="3">
        <f>IF(G224="","",IF(F224="BUY",-(K224+R224),K224-R224))</f>
        <v/>
      </c>
    </row>
    <row r="225">
      <c r="A225">
        <f>IF(G225="","",ROW()-1)</f>
        <v/>
      </c>
      <c r="B225" s="6" t="n"/>
      <c r="G225" s="3" t="n"/>
      <c r="H225" s="3" t="n"/>
      <c r="K225" s="3">
        <f>IF(G225="","",G225*H225)</f>
        <v/>
      </c>
      <c r="L225" s="3">
        <f>IF(G225="","",Settings!$C$5)</f>
        <v/>
      </c>
      <c r="M225" s="3">
        <f>IF(G225="","",IF(F225="SELL",K225*IF(E225="Equity Intraday",Settings!$C$8,Settings!$C$7),0))</f>
        <v/>
      </c>
      <c r="N225" s="3">
        <f>IF(G225="","",K225*(Settings!$C$9+Settings!$C$10))</f>
        <v/>
      </c>
      <c r="O225" s="3">
        <f>IF(G225="","",IF(F225="BUY",K225*Settings!$C$11,0))</f>
        <v/>
      </c>
      <c r="P225" s="3">
        <f>IF(G225="","",L225*Settings!$C$6)</f>
        <v/>
      </c>
      <c r="Q225" s="3">
        <f>IF(G225="","",IF(AND(F225="SELL",E225="Equity Delivery"),Settings!$C$13,0))</f>
        <v/>
      </c>
      <c r="R225" s="3">
        <f>IF(G225="","",SUM(L225:Q225))</f>
        <v/>
      </c>
      <c r="S225" s="3">
        <f>IF(G225="","",IF(F225="BUY",-(K225+R225),K225-R225))</f>
        <v/>
      </c>
    </row>
    <row r="226">
      <c r="A226">
        <f>IF(G226="","",ROW()-1)</f>
        <v/>
      </c>
      <c r="B226" s="6" t="n"/>
      <c r="G226" s="3" t="n"/>
      <c r="H226" s="3" t="n"/>
      <c r="K226" s="3">
        <f>IF(G226="","",G226*H226)</f>
        <v/>
      </c>
      <c r="L226" s="3">
        <f>IF(G226="","",Settings!$C$5)</f>
        <v/>
      </c>
      <c r="M226" s="3">
        <f>IF(G226="","",IF(F226="SELL",K226*IF(E226="Equity Intraday",Settings!$C$8,Settings!$C$7),0))</f>
        <v/>
      </c>
      <c r="N226" s="3">
        <f>IF(G226="","",K226*(Settings!$C$9+Settings!$C$10))</f>
        <v/>
      </c>
      <c r="O226" s="3">
        <f>IF(G226="","",IF(F226="BUY",K226*Settings!$C$11,0))</f>
        <v/>
      </c>
      <c r="P226" s="3">
        <f>IF(G226="","",L226*Settings!$C$6)</f>
        <v/>
      </c>
      <c r="Q226" s="3">
        <f>IF(G226="","",IF(AND(F226="SELL",E226="Equity Delivery"),Settings!$C$13,0))</f>
        <v/>
      </c>
      <c r="R226" s="3">
        <f>IF(G226="","",SUM(L226:Q226))</f>
        <v/>
      </c>
      <c r="S226" s="3">
        <f>IF(G226="","",IF(F226="BUY",-(K226+R226),K226-R226))</f>
        <v/>
      </c>
    </row>
    <row r="227">
      <c r="A227">
        <f>IF(G227="","",ROW()-1)</f>
        <v/>
      </c>
      <c r="B227" s="6" t="n"/>
      <c r="G227" s="3" t="n"/>
      <c r="H227" s="3" t="n"/>
      <c r="K227" s="3">
        <f>IF(G227="","",G227*H227)</f>
        <v/>
      </c>
      <c r="L227" s="3">
        <f>IF(G227="","",Settings!$C$5)</f>
        <v/>
      </c>
      <c r="M227" s="3">
        <f>IF(G227="","",IF(F227="SELL",K227*IF(E227="Equity Intraday",Settings!$C$8,Settings!$C$7),0))</f>
        <v/>
      </c>
      <c r="N227" s="3">
        <f>IF(G227="","",K227*(Settings!$C$9+Settings!$C$10))</f>
        <v/>
      </c>
      <c r="O227" s="3">
        <f>IF(G227="","",IF(F227="BUY",K227*Settings!$C$11,0))</f>
        <v/>
      </c>
      <c r="P227" s="3">
        <f>IF(G227="","",L227*Settings!$C$6)</f>
        <v/>
      </c>
      <c r="Q227" s="3">
        <f>IF(G227="","",IF(AND(F227="SELL",E227="Equity Delivery"),Settings!$C$13,0))</f>
        <v/>
      </c>
      <c r="R227" s="3">
        <f>IF(G227="","",SUM(L227:Q227))</f>
        <v/>
      </c>
      <c r="S227" s="3">
        <f>IF(G227="","",IF(F227="BUY",-(K227+R227),K227-R227))</f>
        <v/>
      </c>
    </row>
    <row r="228">
      <c r="A228">
        <f>IF(G228="","",ROW()-1)</f>
        <v/>
      </c>
      <c r="B228" s="6" t="n"/>
      <c r="G228" s="3" t="n"/>
      <c r="H228" s="3" t="n"/>
      <c r="K228" s="3">
        <f>IF(G228="","",G228*H228)</f>
        <v/>
      </c>
      <c r="L228" s="3">
        <f>IF(G228="","",Settings!$C$5)</f>
        <v/>
      </c>
      <c r="M228" s="3">
        <f>IF(G228="","",IF(F228="SELL",K228*IF(E228="Equity Intraday",Settings!$C$8,Settings!$C$7),0))</f>
        <v/>
      </c>
      <c r="N228" s="3">
        <f>IF(G228="","",K228*(Settings!$C$9+Settings!$C$10))</f>
        <v/>
      </c>
      <c r="O228" s="3">
        <f>IF(G228="","",IF(F228="BUY",K228*Settings!$C$11,0))</f>
        <v/>
      </c>
      <c r="P228" s="3">
        <f>IF(G228="","",L228*Settings!$C$6)</f>
        <v/>
      </c>
      <c r="Q228" s="3">
        <f>IF(G228="","",IF(AND(F228="SELL",E228="Equity Delivery"),Settings!$C$13,0))</f>
        <v/>
      </c>
      <c r="R228" s="3">
        <f>IF(G228="","",SUM(L228:Q228))</f>
        <v/>
      </c>
      <c r="S228" s="3">
        <f>IF(G228="","",IF(F228="BUY",-(K228+R228),K228-R228))</f>
        <v/>
      </c>
    </row>
    <row r="229">
      <c r="A229">
        <f>IF(G229="","",ROW()-1)</f>
        <v/>
      </c>
      <c r="B229" s="6" t="n"/>
      <c r="G229" s="3" t="n"/>
      <c r="H229" s="3" t="n"/>
      <c r="K229" s="3">
        <f>IF(G229="","",G229*H229)</f>
        <v/>
      </c>
      <c r="L229" s="3">
        <f>IF(G229="","",Settings!$C$5)</f>
        <v/>
      </c>
      <c r="M229" s="3">
        <f>IF(G229="","",IF(F229="SELL",K229*IF(E229="Equity Intraday",Settings!$C$8,Settings!$C$7),0))</f>
        <v/>
      </c>
      <c r="N229" s="3">
        <f>IF(G229="","",K229*(Settings!$C$9+Settings!$C$10))</f>
        <v/>
      </c>
      <c r="O229" s="3">
        <f>IF(G229="","",IF(F229="BUY",K229*Settings!$C$11,0))</f>
        <v/>
      </c>
      <c r="P229" s="3">
        <f>IF(G229="","",L229*Settings!$C$6)</f>
        <v/>
      </c>
      <c r="Q229" s="3">
        <f>IF(G229="","",IF(AND(F229="SELL",E229="Equity Delivery"),Settings!$C$13,0))</f>
        <v/>
      </c>
      <c r="R229" s="3">
        <f>IF(G229="","",SUM(L229:Q229))</f>
        <v/>
      </c>
      <c r="S229" s="3">
        <f>IF(G229="","",IF(F229="BUY",-(K229+R229),K229-R229))</f>
        <v/>
      </c>
    </row>
    <row r="230">
      <c r="A230">
        <f>IF(G230="","",ROW()-1)</f>
        <v/>
      </c>
      <c r="B230" s="6" t="n"/>
      <c r="G230" s="3" t="n"/>
      <c r="H230" s="3" t="n"/>
      <c r="K230" s="3">
        <f>IF(G230="","",G230*H230)</f>
        <v/>
      </c>
      <c r="L230" s="3">
        <f>IF(G230="","",Settings!$C$5)</f>
        <v/>
      </c>
      <c r="M230" s="3">
        <f>IF(G230="","",IF(F230="SELL",K230*IF(E230="Equity Intraday",Settings!$C$8,Settings!$C$7),0))</f>
        <v/>
      </c>
      <c r="N230" s="3">
        <f>IF(G230="","",K230*(Settings!$C$9+Settings!$C$10))</f>
        <v/>
      </c>
      <c r="O230" s="3">
        <f>IF(G230="","",IF(F230="BUY",K230*Settings!$C$11,0))</f>
        <v/>
      </c>
      <c r="P230" s="3">
        <f>IF(G230="","",L230*Settings!$C$6)</f>
        <v/>
      </c>
      <c r="Q230" s="3">
        <f>IF(G230="","",IF(AND(F230="SELL",E230="Equity Delivery"),Settings!$C$13,0))</f>
        <v/>
      </c>
      <c r="R230" s="3">
        <f>IF(G230="","",SUM(L230:Q230))</f>
        <v/>
      </c>
      <c r="S230" s="3">
        <f>IF(G230="","",IF(F230="BUY",-(K230+R230),K230-R230))</f>
        <v/>
      </c>
    </row>
    <row r="231">
      <c r="A231">
        <f>IF(G231="","",ROW()-1)</f>
        <v/>
      </c>
      <c r="B231" s="6" t="n"/>
      <c r="G231" s="3" t="n"/>
      <c r="H231" s="3" t="n"/>
      <c r="K231" s="3">
        <f>IF(G231="","",G231*H231)</f>
        <v/>
      </c>
      <c r="L231" s="3">
        <f>IF(G231="","",Settings!$C$5)</f>
        <v/>
      </c>
      <c r="M231" s="3">
        <f>IF(G231="","",IF(F231="SELL",K231*IF(E231="Equity Intraday",Settings!$C$8,Settings!$C$7),0))</f>
        <v/>
      </c>
      <c r="N231" s="3">
        <f>IF(G231="","",K231*(Settings!$C$9+Settings!$C$10))</f>
        <v/>
      </c>
      <c r="O231" s="3">
        <f>IF(G231="","",IF(F231="BUY",K231*Settings!$C$11,0))</f>
        <v/>
      </c>
      <c r="P231" s="3">
        <f>IF(G231="","",L231*Settings!$C$6)</f>
        <v/>
      </c>
      <c r="Q231" s="3">
        <f>IF(G231="","",IF(AND(F231="SELL",E231="Equity Delivery"),Settings!$C$13,0))</f>
        <v/>
      </c>
      <c r="R231" s="3">
        <f>IF(G231="","",SUM(L231:Q231))</f>
        <v/>
      </c>
      <c r="S231" s="3">
        <f>IF(G231="","",IF(F231="BUY",-(K231+R231),K231-R231))</f>
        <v/>
      </c>
    </row>
    <row r="232">
      <c r="A232">
        <f>IF(G232="","",ROW()-1)</f>
        <v/>
      </c>
      <c r="B232" s="6" t="n"/>
      <c r="G232" s="3" t="n"/>
      <c r="H232" s="3" t="n"/>
      <c r="K232" s="3">
        <f>IF(G232="","",G232*H232)</f>
        <v/>
      </c>
      <c r="L232" s="3">
        <f>IF(G232="","",Settings!$C$5)</f>
        <v/>
      </c>
      <c r="M232" s="3">
        <f>IF(G232="","",IF(F232="SELL",K232*IF(E232="Equity Intraday",Settings!$C$8,Settings!$C$7),0))</f>
        <v/>
      </c>
      <c r="N232" s="3">
        <f>IF(G232="","",K232*(Settings!$C$9+Settings!$C$10))</f>
        <v/>
      </c>
      <c r="O232" s="3">
        <f>IF(G232="","",IF(F232="BUY",K232*Settings!$C$11,0))</f>
        <v/>
      </c>
      <c r="P232" s="3">
        <f>IF(G232="","",L232*Settings!$C$6)</f>
        <v/>
      </c>
      <c r="Q232" s="3">
        <f>IF(G232="","",IF(AND(F232="SELL",E232="Equity Delivery"),Settings!$C$13,0))</f>
        <v/>
      </c>
      <c r="R232" s="3">
        <f>IF(G232="","",SUM(L232:Q232))</f>
        <v/>
      </c>
      <c r="S232" s="3">
        <f>IF(G232="","",IF(F232="BUY",-(K232+R232),K232-R232))</f>
        <v/>
      </c>
    </row>
    <row r="233">
      <c r="A233">
        <f>IF(G233="","",ROW()-1)</f>
        <v/>
      </c>
      <c r="B233" s="6" t="n"/>
      <c r="G233" s="3" t="n"/>
      <c r="H233" s="3" t="n"/>
      <c r="K233" s="3">
        <f>IF(G233="","",G233*H233)</f>
        <v/>
      </c>
      <c r="L233" s="3">
        <f>IF(G233="","",Settings!$C$5)</f>
        <v/>
      </c>
      <c r="M233" s="3">
        <f>IF(G233="","",IF(F233="SELL",K233*IF(E233="Equity Intraday",Settings!$C$8,Settings!$C$7),0))</f>
        <v/>
      </c>
      <c r="N233" s="3">
        <f>IF(G233="","",K233*(Settings!$C$9+Settings!$C$10))</f>
        <v/>
      </c>
      <c r="O233" s="3">
        <f>IF(G233="","",IF(F233="BUY",K233*Settings!$C$11,0))</f>
        <v/>
      </c>
      <c r="P233" s="3">
        <f>IF(G233="","",L233*Settings!$C$6)</f>
        <v/>
      </c>
      <c r="Q233" s="3">
        <f>IF(G233="","",IF(AND(F233="SELL",E233="Equity Delivery"),Settings!$C$13,0))</f>
        <v/>
      </c>
      <c r="R233" s="3">
        <f>IF(G233="","",SUM(L233:Q233))</f>
        <v/>
      </c>
      <c r="S233" s="3">
        <f>IF(G233="","",IF(F233="BUY",-(K233+R233),K233-R233))</f>
        <v/>
      </c>
    </row>
    <row r="234">
      <c r="A234">
        <f>IF(G234="","",ROW()-1)</f>
        <v/>
      </c>
      <c r="B234" s="6" t="n"/>
      <c r="G234" s="3" t="n"/>
      <c r="H234" s="3" t="n"/>
      <c r="K234" s="3">
        <f>IF(G234="","",G234*H234)</f>
        <v/>
      </c>
      <c r="L234" s="3">
        <f>IF(G234="","",Settings!$C$5)</f>
        <v/>
      </c>
      <c r="M234" s="3">
        <f>IF(G234="","",IF(F234="SELL",K234*IF(E234="Equity Intraday",Settings!$C$8,Settings!$C$7),0))</f>
        <v/>
      </c>
      <c r="N234" s="3">
        <f>IF(G234="","",K234*(Settings!$C$9+Settings!$C$10))</f>
        <v/>
      </c>
      <c r="O234" s="3">
        <f>IF(G234="","",IF(F234="BUY",K234*Settings!$C$11,0))</f>
        <v/>
      </c>
      <c r="P234" s="3">
        <f>IF(G234="","",L234*Settings!$C$6)</f>
        <v/>
      </c>
      <c r="Q234" s="3">
        <f>IF(G234="","",IF(AND(F234="SELL",E234="Equity Delivery"),Settings!$C$13,0))</f>
        <v/>
      </c>
      <c r="R234" s="3">
        <f>IF(G234="","",SUM(L234:Q234))</f>
        <v/>
      </c>
      <c r="S234" s="3">
        <f>IF(G234="","",IF(F234="BUY",-(K234+R234),K234-R234))</f>
        <v/>
      </c>
    </row>
    <row r="235">
      <c r="A235">
        <f>IF(G235="","",ROW()-1)</f>
        <v/>
      </c>
      <c r="B235" s="6" t="n"/>
      <c r="G235" s="3" t="n"/>
      <c r="H235" s="3" t="n"/>
      <c r="K235" s="3">
        <f>IF(G235="","",G235*H235)</f>
        <v/>
      </c>
      <c r="L235" s="3">
        <f>IF(G235="","",Settings!$C$5)</f>
        <v/>
      </c>
      <c r="M235" s="3">
        <f>IF(G235="","",IF(F235="SELL",K235*IF(E235="Equity Intraday",Settings!$C$8,Settings!$C$7),0))</f>
        <v/>
      </c>
      <c r="N235" s="3">
        <f>IF(G235="","",K235*(Settings!$C$9+Settings!$C$10))</f>
        <v/>
      </c>
      <c r="O235" s="3">
        <f>IF(G235="","",IF(F235="BUY",K235*Settings!$C$11,0))</f>
        <v/>
      </c>
      <c r="P235" s="3">
        <f>IF(G235="","",L235*Settings!$C$6)</f>
        <v/>
      </c>
      <c r="Q235" s="3">
        <f>IF(G235="","",IF(AND(F235="SELL",E235="Equity Delivery"),Settings!$C$13,0))</f>
        <v/>
      </c>
      <c r="R235" s="3">
        <f>IF(G235="","",SUM(L235:Q235))</f>
        <v/>
      </c>
      <c r="S235" s="3">
        <f>IF(G235="","",IF(F235="BUY",-(K235+R235),K235-R235))</f>
        <v/>
      </c>
    </row>
    <row r="236">
      <c r="A236">
        <f>IF(G236="","",ROW()-1)</f>
        <v/>
      </c>
      <c r="B236" s="6" t="n"/>
      <c r="G236" s="3" t="n"/>
      <c r="H236" s="3" t="n"/>
      <c r="K236" s="3">
        <f>IF(G236="","",G236*H236)</f>
        <v/>
      </c>
      <c r="L236" s="3">
        <f>IF(G236="","",Settings!$C$5)</f>
        <v/>
      </c>
      <c r="M236" s="3">
        <f>IF(G236="","",IF(F236="SELL",K236*IF(E236="Equity Intraday",Settings!$C$8,Settings!$C$7),0))</f>
        <v/>
      </c>
      <c r="N236" s="3">
        <f>IF(G236="","",K236*(Settings!$C$9+Settings!$C$10))</f>
        <v/>
      </c>
      <c r="O236" s="3">
        <f>IF(G236="","",IF(F236="BUY",K236*Settings!$C$11,0))</f>
        <v/>
      </c>
      <c r="P236" s="3">
        <f>IF(G236="","",L236*Settings!$C$6)</f>
        <v/>
      </c>
      <c r="Q236" s="3">
        <f>IF(G236="","",IF(AND(F236="SELL",E236="Equity Delivery"),Settings!$C$13,0))</f>
        <v/>
      </c>
      <c r="R236" s="3">
        <f>IF(G236="","",SUM(L236:Q236))</f>
        <v/>
      </c>
      <c r="S236" s="3">
        <f>IF(G236="","",IF(F236="BUY",-(K236+R236),K236-R236))</f>
        <v/>
      </c>
    </row>
    <row r="237">
      <c r="A237">
        <f>IF(G237="","",ROW()-1)</f>
        <v/>
      </c>
      <c r="B237" s="6" t="n"/>
      <c r="G237" s="3" t="n"/>
      <c r="H237" s="3" t="n"/>
      <c r="K237" s="3">
        <f>IF(G237="","",G237*H237)</f>
        <v/>
      </c>
      <c r="L237" s="3">
        <f>IF(G237="","",Settings!$C$5)</f>
        <v/>
      </c>
      <c r="M237" s="3">
        <f>IF(G237="","",IF(F237="SELL",K237*IF(E237="Equity Intraday",Settings!$C$8,Settings!$C$7),0))</f>
        <v/>
      </c>
      <c r="N237" s="3">
        <f>IF(G237="","",K237*(Settings!$C$9+Settings!$C$10))</f>
        <v/>
      </c>
      <c r="O237" s="3">
        <f>IF(G237="","",IF(F237="BUY",K237*Settings!$C$11,0))</f>
        <v/>
      </c>
      <c r="P237" s="3">
        <f>IF(G237="","",L237*Settings!$C$6)</f>
        <v/>
      </c>
      <c r="Q237" s="3">
        <f>IF(G237="","",IF(AND(F237="SELL",E237="Equity Delivery"),Settings!$C$13,0))</f>
        <v/>
      </c>
      <c r="R237" s="3">
        <f>IF(G237="","",SUM(L237:Q237))</f>
        <v/>
      </c>
      <c r="S237" s="3">
        <f>IF(G237="","",IF(F237="BUY",-(K237+R237),K237-R237))</f>
        <v/>
      </c>
    </row>
    <row r="238">
      <c r="A238">
        <f>IF(G238="","",ROW()-1)</f>
        <v/>
      </c>
      <c r="B238" s="6" t="n"/>
      <c r="G238" s="3" t="n"/>
      <c r="H238" s="3" t="n"/>
      <c r="K238" s="3">
        <f>IF(G238="","",G238*H238)</f>
        <v/>
      </c>
      <c r="L238" s="3">
        <f>IF(G238="","",Settings!$C$5)</f>
        <v/>
      </c>
      <c r="M238" s="3">
        <f>IF(G238="","",IF(F238="SELL",K238*IF(E238="Equity Intraday",Settings!$C$8,Settings!$C$7),0))</f>
        <v/>
      </c>
      <c r="N238" s="3">
        <f>IF(G238="","",K238*(Settings!$C$9+Settings!$C$10))</f>
        <v/>
      </c>
      <c r="O238" s="3">
        <f>IF(G238="","",IF(F238="BUY",K238*Settings!$C$11,0))</f>
        <v/>
      </c>
      <c r="P238" s="3">
        <f>IF(G238="","",L238*Settings!$C$6)</f>
        <v/>
      </c>
      <c r="Q238" s="3">
        <f>IF(G238="","",IF(AND(F238="SELL",E238="Equity Delivery"),Settings!$C$13,0))</f>
        <v/>
      </c>
      <c r="R238" s="3">
        <f>IF(G238="","",SUM(L238:Q238))</f>
        <v/>
      </c>
      <c r="S238" s="3">
        <f>IF(G238="","",IF(F238="BUY",-(K238+R238),K238-R238))</f>
        <v/>
      </c>
    </row>
    <row r="239">
      <c r="A239">
        <f>IF(G239="","",ROW()-1)</f>
        <v/>
      </c>
      <c r="B239" s="6" t="n"/>
      <c r="G239" s="3" t="n"/>
      <c r="H239" s="3" t="n"/>
      <c r="K239" s="3">
        <f>IF(G239="","",G239*H239)</f>
        <v/>
      </c>
      <c r="L239" s="3">
        <f>IF(G239="","",Settings!$C$5)</f>
        <v/>
      </c>
      <c r="M239" s="3">
        <f>IF(G239="","",IF(F239="SELL",K239*IF(E239="Equity Intraday",Settings!$C$8,Settings!$C$7),0))</f>
        <v/>
      </c>
      <c r="N239" s="3">
        <f>IF(G239="","",K239*(Settings!$C$9+Settings!$C$10))</f>
        <v/>
      </c>
      <c r="O239" s="3">
        <f>IF(G239="","",IF(F239="BUY",K239*Settings!$C$11,0))</f>
        <v/>
      </c>
      <c r="P239" s="3">
        <f>IF(G239="","",L239*Settings!$C$6)</f>
        <v/>
      </c>
      <c r="Q239" s="3">
        <f>IF(G239="","",IF(AND(F239="SELL",E239="Equity Delivery"),Settings!$C$13,0))</f>
        <v/>
      </c>
      <c r="R239" s="3">
        <f>IF(G239="","",SUM(L239:Q239))</f>
        <v/>
      </c>
      <c r="S239" s="3">
        <f>IF(G239="","",IF(F239="BUY",-(K239+R239),K239-R239))</f>
        <v/>
      </c>
    </row>
    <row r="240">
      <c r="A240">
        <f>IF(G240="","",ROW()-1)</f>
        <v/>
      </c>
      <c r="B240" s="6" t="n"/>
      <c r="G240" s="3" t="n"/>
      <c r="H240" s="3" t="n"/>
      <c r="K240" s="3">
        <f>IF(G240="","",G240*H240)</f>
        <v/>
      </c>
      <c r="L240" s="3">
        <f>IF(G240="","",Settings!$C$5)</f>
        <v/>
      </c>
      <c r="M240" s="3">
        <f>IF(G240="","",IF(F240="SELL",K240*IF(E240="Equity Intraday",Settings!$C$8,Settings!$C$7),0))</f>
        <v/>
      </c>
      <c r="N240" s="3">
        <f>IF(G240="","",K240*(Settings!$C$9+Settings!$C$10))</f>
        <v/>
      </c>
      <c r="O240" s="3">
        <f>IF(G240="","",IF(F240="BUY",K240*Settings!$C$11,0))</f>
        <v/>
      </c>
      <c r="P240" s="3">
        <f>IF(G240="","",L240*Settings!$C$6)</f>
        <v/>
      </c>
      <c r="Q240" s="3">
        <f>IF(G240="","",IF(AND(F240="SELL",E240="Equity Delivery"),Settings!$C$13,0))</f>
        <v/>
      </c>
      <c r="R240" s="3">
        <f>IF(G240="","",SUM(L240:Q240))</f>
        <v/>
      </c>
      <c r="S240" s="3">
        <f>IF(G240="","",IF(F240="BUY",-(K240+R240),K240-R240))</f>
        <v/>
      </c>
    </row>
    <row r="241">
      <c r="A241">
        <f>IF(G241="","",ROW()-1)</f>
        <v/>
      </c>
      <c r="B241" s="6" t="n"/>
      <c r="G241" s="3" t="n"/>
      <c r="H241" s="3" t="n"/>
      <c r="K241" s="3">
        <f>IF(G241="","",G241*H241)</f>
        <v/>
      </c>
      <c r="L241" s="3">
        <f>IF(G241="","",Settings!$C$5)</f>
        <v/>
      </c>
      <c r="M241" s="3">
        <f>IF(G241="","",IF(F241="SELL",K241*IF(E241="Equity Intraday",Settings!$C$8,Settings!$C$7),0))</f>
        <v/>
      </c>
      <c r="N241" s="3">
        <f>IF(G241="","",K241*(Settings!$C$9+Settings!$C$10))</f>
        <v/>
      </c>
      <c r="O241" s="3">
        <f>IF(G241="","",IF(F241="BUY",K241*Settings!$C$11,0))</f>
        <v/>
      </c>
      <c r="P241" s="3">
        <f>IF(G241="","",L241*Settings!$C$6)</f>
        <v/>
      </c>
      <c r="Q241" s="3">
        <f>IF(G241="","",IF(AND(F241="SELL",E241="Equity Delivery"),Settings!$C$13,0))</f>
        <v/>
      </c>
      <c r="R241" s="3">
        <f>IF(G241="","",SUM(L241:Q241))</f>
        <v/>
      </c>
      <c r="S241" s="3">
        <f>IF(G241="","",IF(F241="BUY",-(K241+R241),K241-R241))</f>
        <v/>
      </c>
    </row>
    <row r="242">
      <c r="A242">
        <f>IF(G242="","",ROW()-1)</f>
        <v/>
      </c>
      <c r="B242" s="6" t="n"/>
      <c r="G242" s="3" t="n"/>
      <c r="H242" s="3" t="n"/>
      <c r="K242" s="3">
        <f>IF(G242="","",G242*H242)</f>
        <v/>
      </c>
      <c r="L242" s="3">
        <f>IF(G242="","",Settings!$C$5)</f>
        <v/>
      </c>
      <c r="M242" s="3">
        <f>IF(G242="","",IF(F242="SELL",K242*IF(E242="Equity Intraday",Settings!$C$8,Settings!$C$7),0))</f>
        <v/>
      </c>
      <c r="N242" s="3">
        <f>IF(G242="","",K242*(Settings!$C$9+Settings!$C$10))</f>
        <v/>
      </c>
      <c r="O242" s="3">
        <f>IF(G242="","",IF(F242="BUY",K242*Settings!$C$11,0))</f>
        <v/>
      </c>
      <c r="P242" s="3">
        <f>IF(G242="","",L242*Settings!$C$6)</f>
        <v/>
      </c>
      <c r="Q242" s="3">
        <f>IF(G242="","",IF(AND(F242="SELL",E242="Equity Delivery"),Settings!$C$13,0))</f>
        <v/>
      </c>
      <c r="R242" s="3">
        <f>IF(G242="","",SUM(L242:Q242))</f>
        <v/>
      </c>
      <c r="S242" s="3">
        <f>IF(G242="","",IF(F242="BUY",-(K242+R242),K242-R242))</f>
        <v/>
      </c>
    </row>
    <row r="243">
      <c r="A243">
        <f>IF(G243="","",ROW()-1)</f>
        <v/>
      </c>
      <c r="B243" s="6" t="n"/>
      <c r="G243" s="3" t="n"/>
      <c r="H243" s="3" t="n"/>
      <c r="K243" s="3">
        <f>IF(G243="","",G243*H243)</f>
        <v/>
      </c>
      <c r="L243" s="3">
        <f>IF(G243="","",Settings!$C$5)</f>
        <v/>
      </c>
      <c r="M243" s="3">
        <f>IF(G243="","",IF(F243="SELL",K243*IF(E243="Equity Intraday",Settings!$C$8,Settings!$C$7),0))</f>
        <v/>
      </c>
      <c r="N243" s="3">
        <f>IF(G243="","",K243*(Settings!$C$9+Settings!$C$10))</f>
        <v/>
      </c>
      <c r="O243" s="3">
        <f>IF(G243="","",IF(F243="BUY",K243*Settings!$C$11,0))</f>
        <v/>
      </c>
      <c r="P243" s="3">
        <f>IF(G243="","",L243*Settings!$C$6)</f>
        <v/>
      </c>
      <c r="Q243" s="3">
        <f>IF(G243="","",IF(AND(F243="SELL",E243="Equity Delivery"),Settings!$C$13,0))</f>
        <v/>
      </c>
      <c r="R243" s="3">
        <f>IF(G243="","",SUM(L243:Q243))</f>
        <v/>
      </c>
      <c r="S243" s="3">
        <f>IF(G243="","",IF(F243="BUY",-(K243+R243),K243-R243))</f>
        <v/>
      </c>
    </row>
    <row r="244">
      <c r="A244">
        <f>IF(G244="","",ROW()-1)</f>
        <v/>
      </c>
      <c r="B244" s="6" t="n"/>
      <c r="G244" s="3" t="n"/>
      <c r="H244" s="3" t="n"/>
      <c r="K244" s="3">
        <f>IF(G244="","",G244*H244)</f>
        <v/>
      </c>
      <c r="L244" s="3">
        <f>IF(G244="","",Settings!$C$5)</f>
        <v/>
      </c>
      <c r="M244" s="3">
        <f>IF(G244="","",IF(F244="SELL",K244*IF(E244="Equity Intraday",Settings!$C$8,Settings!$C$7),0))</f>
        <v/>
      </c>
      <c r="N244" s="3">
        <f>IF(G244="","",K244*(Settings!$C$9+Settings!$C$10))</f>
        <v/>
      </c>
      <c r="O244" s="3">
        <f>IF(G244="","",IF(F244="BUY",K244*Settings!$C$11,0))</f>
        <v/>
      </c>
      <c r="P244" s="3">
        <f>IF(G244="","",L244*Settings!$C$6)</f>
        <v/>
      </c>
      <c r="Q244" s="3">
        <f>IF(G244="","",IF(AND(F244="SELL",E244="Equity Delivery"),Settings!$C$13,0))</f>
        <v/>
      </c>
      <c r="R244" s="3">
        <f>IF(G244="","",SUM(L244:Q244))</f>
        <v/>
      </c>
      <c r="S244" s="3">
        <f>IF(G244="","",IF(F244="BUY",-(K244+R244),K244-R244))</f>
        <v/>
      </c>
    </row>
    <row r="245">
      <c r="A245">
        <f>IF(G245="","",ROW()-1)</f>
        <v/>
      </c>
      <c r="B245" s="6" t="n"/>
      <c r="G245" s="3" t="n"/>
      <c r="H245" s="3" t="n"/>
      <c r="K245" s="3">
        <f>IF(G245="","",G245*H245)</f>
        <v/>
      </c>
      <c r="L245" s="3">
        <f>IF(G245="","",Settings!$C$5)</f>
        <v/>
      </c>
      <c r="M245" s="3">
        <f>IF(G245="","",IF(F245="SELL",K245*IF(E245="Equity Intraday",Settings!$C$8,Settings!$C$7),0))</f>
        <v/>
      </c>
      <c r="N245" s="3">
        <f>IF(G245="","",K245*(Settings!$C$9+Settings!$C$10))</f>
        <v/>
      </c>
      <c r="O245" s="3">
        <f>IF(G245="","",IF(F245="BUY",K245*Settings!$C$11,0))</f>
        <v/>
      </c>
      <c r="P245" s="3">
        <f>IF(G245="","",L245*Settings!$C$6)</f>
        <v/>
      </c>
      <c r="Q245" s="3">
        <f>IF(G245="","",IF(AND(F245="SELL",E245="Equity Delivery"),Settings!$C$13,0))</f>
        <v/>
      </c>
      <c r="R245" s="3">
        <f>IF(G245="","",SUM(L245:Q245))</f>
        <v/>
      </c>
      <c r="S245" s="3">
        <f>IF(G245="","",IF(F245="BUY",-(K245+R245),K245-R245))</f>
        <v/>
      </c>
    </row>
    <row r="246">
      <c r="A246">
        <f>IF(G246="","",ROW()-1)</f>
        <v/>
      </c>
      <c r="B246" s="6" t="n"/>
      <c r="G246" s="3" t="n"/>
      <c r="H246" s="3" t="n"/>
      <c r="K246" s="3">
        <f>IF(G246="","",G246*H246)</f>
        <v/>
      </c>
      <c r="L246" s="3">
        <f>IF(G246="","",Settings!$C$5)</f>
        <v/>
      </c>
      <c r="M246" s="3">
        <f>IF(G246="","",IF(F246="SELL",K246*IF(E246="Equity Intraday",Settings!$C$8,Settings!$C$7),0))</f>
        <v/>
      </c>
      <c r="N246" s="3">
        <f>IF(G246="","",K246*(Settings!$C$9+Settings!$C$10))</f>
        <v/>
      </c>
      <c r="O246" s="3">
        <f>IF(G246="","",IF(F246="BUY",K246*Settings!$C$11,0))</f>
        <v/>
      </c>
      <c r="P246" s="3">
        <f>IF(G246="","",L246*Settings!$C$6)</f>
        <v/>
      </c>
      <c r="Q246" s="3">
        <f>IF(G246="","",IF(AND(F246="SELL",E246="Equity Delivery"),Settings!$C$13,0))</f>
        <v/>
      </c>
      <c r="R246" s="3">
        <f>IF(G246="","",SUM(L246:Q246))</f>
        <v/>
      </c>
      <c r="S246" s="3">
        <f>IF(G246="","",IF(F246="BUY",-(K246+R246),K246-R246))</f>
        <v/>
      </c>
    </row>
    <row r="247">
      <c r="A247">
        <f>IF(G247="","",ROW()-1)</f>
        <v/>
      </c>
      <c r="B247" s="6" t="n"/>
      <c r="G247" s="3" t="n"/>
      <c r="H247" s="3" t="n"/>
      <c r="K247" s="3">
        <f>IF(G247="","",G247*H247)</f>
        <v/>
      </c>
      <c r="L247" s="3">
        <f>IF(G247="","",Settings!$C$5)</f>
        <v/>
      </c>
      <c r="M247" s="3">
        <f>IF(G247="","",IF(F247="SELL",K247*IF(E247="Equity Intraday",Settings!$C$8,Settings!$C$7),0))</f>
        <v/>
      </c>
      <c r="N247" s="3">
        <f>IF(G247="","",K247*(Settings!$C$9+Settings!$C$10))</f>
        <v/>
      </c>
      <c r="O247" s="3">
        <f>IF(G247="","",IF(F247="BUY",K247*Settings!$C$11,0))</f>
        <v/>
      </c>
      <c r="P247" s="3">
        <f>IF(G247="","",L247*Settings!$C$6)</f>
        <v/>
      </c>
      <c r="Q247" s="3">
        <f>IF(G247="","",IF(AND(F247="SELL",E247="Equity Delivery"),Settings!$C$13,0))</f>
        <v/>
      </c>
      <c r="R247" s="3">
        <f>IF(G247="","",SUM(L247:Q247))</f>
        <v/>
      </c>
      <c r="S247" s="3">
        <f>IF(G247="","",IF(F247="BUY",-(K247+R247),K247-R247))</f>
        <v/>
      </c>
    </row>
    <row r="248">
      <c r="A248">
        <f>IF(G248="","",ROW()-1)</f>
        <v/>
      </c>
      <c r="B248" s="6" t="n"/>
      <c r="G248" s="3" t="n"/>
      <c r="H248" s="3" t="n"/>
      <c r="K248" s="3">
        <f>IF(G248="","",G248*H248)</f>
        <v/>
      </c>
      <c r="L248" s="3">
        <f>IF(G248="","",Settings!$C$5)</f>
        <v/>
      </c>
      <c r="M248" s="3">
        <f>IF(G248="","",IF(F248="SELL",K248*IF(E248="Equity Intraday",Settings!$C$8,Settings!$C$7),0))</f>
        <v/>
      </c>
      <c r="N248" s="3">
        <f>IF(G248="","",K248*(Settings!$C$9+Settings!$C$10))</f>
        <v/>
      </c>
      <c r="O248" s="3">
        <f>IF(G248="","",IF(F248="BUY",K248*Settings!$C$11,0))</f>
        <v/>
      </c>
      <c r="P248" s="3">
        <f>IF(G248="","",L248*Settings!$C$6)</f>
        <v/>
      </c>
      <c r="Q248" s="3">
        <f>IF(G248="","",IF(AND(F248="SELL",E248="Equity Delivery"),Settings!$C$13,0))</f>
        <v/>
      </c>
      <c r="R248" s="3">
        <f>IF(G248="","",SUM(L248:Q248))</f>
        <v/>
      </c>
      <c r="S248" s="3">
        <f>IF(G248="","",IF(F248="BUY",-(K248+R248),K248-R248))</f>
        <v/>
      </c>
    </row>
    <row r="249">
      <c r="A249">
        <f>IF(G249="","",ROW()-1)</f>
        <v/>
      </c>
      <c r="B249" s="6" t="n"/>
      <c r="G249" s="3" t="n"/>
      <c r="H249" s="3" t="n"/>
      <c r="K249" s="3">
        <f>IF(G249="","",G249*H249)</f>
        <v/>
      </c>
      <c r="L249" s="3">
        <f>IF(G249="","",Settings!$C$5)</f>
        <v/>
      </c>
      <c r="M249" s="3">
        <f>IF(G249="","",IF(F249="SELL",K249*IF(E249="Equity Intraday",Settings!$C$8,Settings!$C$7),0))</f>
        <v/>
      </c>
      <c r="N249" s="3">
        <f>IF(G249="","",K249*(Settings!$C$9+Settings!$C$10))</f>
        <v/>
      </c>
      <c r="O249" s="3">
        <f>IF(G249="","",IF(F249="BUY",K249*Settings!$C$11,0))</f>
        <v/>
      </c>
      <c r="P249" s="3">
        <f>IF(G249="","",L249*Settings!$C$6)</f>
        <v/>
      </c>
      <c r="Q249" s="3">
        <f>IF(G249="","",IF(AND(F249="SELL",E249="Equity Delivery"),Settings!$C$13,0))</f>
        <v/>
      </c>
      <c r="R249" s="3">
        <f>IF(G249="","",SUM(L249:Q249))</f>
        <v/>
      </c>
      <c r="S249" s="3">
        <f>IF(G249="","",IF(F249="BUY",-(K249+R249),K249-R249))</f>
        <v/>
      </c>
    </row>
    <row r="250">
      <c r="A250">
        <f>IF(G250="","",ROW()-1)</f>
        <v/>
      </c>
      <c r="B250" s="6" t="n"/>
      <c r="G250" s="3" t="n"/>
      <c r="H250" s="3" t="n"/>
      <c r="K250" s="3">
        <f>IF(G250="","",G250*H250)</f>
        <v/>
      </c>
      <c r="L250" s="3">
        <f>IF(G250="","",Settings!$C$5)</f>
        <v/>
      </c>
      <c r="M250" s="3">
        <f>IF(G250="","",IF(F250="SELL",K250*IF(E250="Equity Intraday",Settings!$C$8,Settings!$C$7),0))</f>
        <v/>
      </c>
      <c r="N250" s="3">
        <f>IF(G250="","",K250*(Settings!$C$9+Settings!$C$10))</f>
        <v/>
      </c>
      <c r="O250" s="3">
        <f>IF(G250="","",IF(F250="BUY",K250*Settings!$C$11,0))</f>
        <v/>
      </c>
      <c r="P250" s="3">
        <f>IF(G250="","",L250*Settings!$C$6)</f>
        <v/>
      </c>
      <c r="Q250" s="3">
        <f>IF(G250="","",IF(AND(F250="SELL",E250="Equity Delivery"),Settings!$C$13,0))</f>
        <v/>
      </c>
      <c r="R250" s="3">
        <f>IF(G250="","",SUM(L250:Q250))</f>
        <v/>
      </c>
      <c r="S250" s="3">
        <f>IF(G250="","",IF(F250="BUY",-(K250+R250),K250-R250))</f>
        <v/>
      </c>
    </row>
    <row r="251">
      <c r="A251">
        <f>IF(G251="","",ROW()-1)</f>
        <v/>
      </c>
      <c r="B251" s="6" t="n"/>
      <c r="G251" s="3" t="n"/>
      <c r="H251" s="3" t="n"/>
      <c r="K251" s="3">
        <f>IF(G251="","",G251*H251)</f>
        <v/>
      </c>
      <c r="L251" s="3">
        <f>IF(G251="","",Settings!$C$5)</f>
        <v/>
      </c>
      <c r="M251" s="3">
        <f>IF(G251="","",IF(F251="SELL",K251*IF(E251="Equity Intraday",Settings!$C$8,Settings!$C$7),0))</f>
        <v/>
      </c>
      <c r="N251" s="3">
        <f>IF(G251="","",K251*(Settings!$C$9+Settings!$C$10))</f>
        <v/>
      </c>
      <c r="O251" s="3">
        <f>IF(G251="","",IF(F251="BUY",K251*Settings!$C$11,0))</f>
        <v/>
      </c>
      <c r="P251" s="3">
        <f>IF(G251="","",L251*Settings!$C$6)</f>
        <v/>
      </c>
      <c r="Q251" s="3">
        <f>IF(G251="","",IF(AND(F251="SELL",E251="Equity Delivery"),Settings!$C$13,0))</f>
        <v/>
      </c>
      <c r="R251" s="3">
        <f>IF(G251="","",SUM(L251:Q251))</f>
        <v/>
      </c>
      <c r="S251" s="3">
        <f>IF(G251="","",IF(F251="BUY",-(K251+R251),K251-R251))</f>
        <v/>
      </c>
    </row>
    <row r="252">
      <c r="A252">
        <f>IF(G252="","",ROW()-1)</f>
        <v/>
      </c>
      <c r="B252" s="6" t="n"/>
      <c r="G252" s="3" t="n"/>
      <c r="H252" s="3" t="n"/>
      <c r="K252" s="3">
        <f>IF(G252="","",G252*H252)</f>
        <v/>
      </c>
      <c r="L252" s="3">
        <f>IF(G252="","",Settings!$C$5)</f>
        <v/>
      </c>
      <c r="M252" s="3">
        <f>IF(G252="","",IF(F252="SELL",K252*IF(E252="Equity Intraday",Settings!$C$8,Settings!$C$7),0))</f>
        <v/>
      </c>
      <c r="N252" s="3">
        <f>IF(G252="","",K252*(Settings!$C$9+Settings!$C$10))</f>
        <v/>
      </c>
      <c r="O252" s="3">
        <f>IF(G252="","",IF(F252="BUY",K252*Settings!$C$11,0))</f>
        <v/>
      </c>
      <c r="P252" s="3">
        <f>IF(G252="","",L252*Settings!$C$6)</f>
        <v/>
      </c>
      <c r="Q252" s="3">
        <f>IF(G252="","",IF(AND(F252="SELL",E252="Equity Delivery"),Settings!$C$13,0))</f>
        <v/>
      </c>
      <c r="R252" s="3">
        <f>IF(G252="","",SUM(L252:Q252))</f>
        <v/>
      </c>
      <c r="S252" s="3">
        <f>IF(G252="","",IF(F252="BUY",-(K252+R252),K252-R252))</f>
        <v/>
      </c>
    </row>
    <row r="253">
      <c r="A253">
        <f>IF(G253="","",ROW()-1)</f>
        <v/>
      </c>
      <c r="B253" s="6" t="n"/>
      <c r="G253" s="3" t="n"/>
      <c r="H253" s="3" t="n"/>
      <c r="K253" s="3">
        <f>IF(G253="","",G253*H253)</f>
        <v/>
      </c>
      <c r="L253" s="3">
        <f>IF(G253="","",Settings!$C$5)</f>
        <v/>
      </c>
      <c r="M253" s="3">
        <f>IF(G253="","",IF(F253="SELL",K253*IF(E253="Equity Intraday",Settings!$C$8,Settings!$C$7),0))</f>
        <v/>
      </c>
      <c r="N253" s="3">
        <f>IF(G253="","",K253*(Settings!$C$9+Settings!$C$10))</f>
        <v/>
      </c>
      <c r="O253" s="3">
        <f>IF(G253="","",IF(F253="BUY",K253*Settings!$C$11,0))</f>
        <v/>
      </c>
      <c r="P253" s="3">
        <f>IF(G253="","",L253*Settings!$C$6)</f>
        <v/>
      </c>
      <c r="Q253" s="3">
        <f>IF(G253="","",IF(AND(F253="SELL",E253="Equity Delivery"),Settings!$C$13,0))</f>
        <v/>
      </c>
      <c r="R253" s="3">
        <f>IF(G253="","",SUM(L253:Q253))</f>
        <v/>
      </c>
      <c r="S253" s="3">
        <f>IF(G253="","",IF(F253="BUY",-(K253+R253),K253-R253))</f>
        <v/>
      </c>
    </row>
    <row r="254">
      <c r="A254">
        <f>IF(G254="","",ROW()-1)</f>
        <v/>
      </c>
      <c r="B254" s="6" t="n"/>
      <c r="G254" s="3" t="n"/>
      <c r="H254" s="3" t="n"/>
      <c r="K254" s="3">
        <f>IF(G254="","",G254*H254)</f>
        <v/>
      </c>
      <c r="L254" s="3">
        <f>IF(G254="","",Settings!$C$5)</f>
        <v/>
      </c>
      <c r="M254" s="3">
        <f>IF(G254="","",IF(F254="SELL",K254*IF(E254="Equity Intraday",Settings!$C$8,Settings!$C$7),0))</f>
        <v/>
      </c>
      <c r="N254" s="3">
        <f>IF(G254="","",K254*(Settings!$C$9+Settings!$C$10))</f>
        <v/>
      </c>
      <c r="O254" s="3">
        <f>IF(G254="","",IF(F254="BUY",K254*Settings!$C$11,0))</f>
        <v/>
      </c>
      <c r="P254" s="3">
        <f>IF(G254="","",L254*Settings!$C$6)</f>
        <v/>
      </c>
      <c r="Q254" s="3">
        <f>IF(G254="","",IF(AND(F254="SELL",E254="Equity Delivery"),Settings!$C$13,0))</f>
        <v/>
      </c>
      <c r="R254" s="3">
        <f>IF(G254="","",SUM(L254:Q254))</f>
        <v/>
      </c>
      <c r="S254" s="3">
        <f>IF(G254="","",IF(F254="BUY",-(K254+R254),K254-R254))</f>
        <v/>
      </c>
    </row>
    <row r="255">
      <c r="A255">
        <f>IF(G255="","",ROW()-1)</f>
        <v/>
      </c>
      <c r="B255" s="6" t="n"/>
      <c r="G255" s="3" t="n"/>
      <c r="H255" s="3" t="n"/>
      <c r="K255" s="3">
        <f>IF(G255="","",G255*H255)</f>
        <v/>
      </c>
      <c r="L255" s="3">
        <f>IF(G255="","",Settings!$C$5)</f>
        <v/>
      </c>
      <c r="M255" s="3">
        <f>IF(G255="","",IF(F255="SELL",K255*IF(E255="Equity Intraday",Settings!$C$8,Settings!$C$7),0))</f>
        <v/>
      </c>
      <c r="N255" s="3">
        <f>IF(G255="","",K255*(Settings!$C$9+Settings!$C$10))</f>
        <v/>
      </c>
      <c r="O255" s="3">
        <f>IF(G255="","",IF(F255="BUY",K255*Settings!$C$11,0))</f>
        <v/>
      </c>
      <c r="P255" s="3">
        <f>IF(G255="","",L255*Settings!$C$6)</f>
        <v/>
      </c>
      <c r="Q255" s="3">
        <f>IF(G255="","",IF(AND(F255="SELL",E255="Equity Delivery"),Settings!$C$13,0))</f>
        <v/>
      </c>
      <c r="R255" s="3">
        <f>IF(G255="","",SUM(L255:Q255))</f>
        <v/>
      </c>
      <c r="S255" s="3">
        <f>IF(G255="","",IF(F255="BUY",-(K255+R255),K255-R255))</f>
        <v/>
      </c>
    </row>
    <row r="256">
      <c r="A256">
        <f>IF(G256="","",ROW()-1)</f>
        <v/>
      </c>
      <c r="B256" s="6" t="n"/>
      <c r="G256" s="3" t="n"/>
      <c r="H256" s="3" t="n"/>
      <c r="K256" s="3">
        <f>IF(G256="","",G256*H256)</f>
        <v/>
      </c>
      <c r="L256" s="3">
        <f>IF(G256="","",Settings!$C$5)</f>
        <v/>
      </c>
      <c r="M256" s="3">
        <f>IF(G256="","",IF(F256="SELL",K256*IF(E256="Equity Intraday",Settings!$C$8,Settings!$C$7),0))</f>
        <v/>
      </c>
      <c r="N256" s="3">
        <f>IF(G256="","",K256*(Settings!$C$9+Settings!$C$10))</f>
        <v/>
      </c>
      <c r="O256" s="3">
        <f>IF(G256="","",IF(F256="BUY",K256*Settings!$C$11,0))</f>
        <v/>
      </c>
      <c r="P256" s="3">
        <f>IF(G256="","",L256*Settings!$C$6)</f>
        <v/>
      </c>
      <c r="Q256" s="3">
        <f>IF(G256="","",IF(AND(F256="SELL",E256="Equity Delivery"),Settings!$C$13,0))</f>
        <v/>
      </c>
      <c r="R256" s="3">
        <f>IF(G256="","",SUM(L256:Q256))</f>
        <v/>
      </c>
      <c r="S256" s="3">
        <f>IF(G256="","",IF(F256="BUY",-(K256+R256),K256-R256))</f>
        <v/>
      </c>
    </row>
    <row r="257">
      <c r="A257">
        <f>IF(G257="","",ROW()-1)</f>
        <v/>
      </c>
      <c r="B257" s="6" t="n"/>
      <c r="G257" s="3" t="n"/>
      <c r="H257" s="3" t="n"/>
      <c r="K257" s="3">
        <f>IF(G257="","",G257*H257)</f>
        <v/>
      </c>
      <c r="L257" s="3">
        <f>IF(G257="","",Settings!$C$5)</f>
        <v/>
      </c>
      <c r="M257" s="3">
        <f>IF(G257="","",IF(F257="SELL",K257*IF(E257="Equity Intraday",Settings!$C$8,Settings!$C$7),0))</f>
        <v/>
      </c>
      <c r="N257" s="3">
        <f>IF(G257="","",K257*(Settings!$C$9+Settings!$C$10))</f>
        <v/>
      </c>
      <c r="O257" s="3">
        <f>IF(G257="","",IF(F257="BUY",K257*Settings!$C$11,0))</f>
        <v/>
      </c>
      <c r="P257" s="3">
        <f>IF(G257="","",L257*Settings!$C$6)</f>
        <v/>
      </c>
      <c r="Q257" s="3">
        <f>IF(G257="","",IF(AND(F257="SELL",E257="Equity Delivery"),Settings!$C$13,0))</f>
        <v/>
      </c>
      <c r="R257" s="3">
        <f>IF(G257="","",SUM(L257:Q257))</f>
        <v/>
      </c>
      <c r="S257" s="3">
        <f>IF(G257="","",IF(F257="BUY",-(K257+R257),K257-R257))</f>
        <v/>
      </c>
    </row>
    <row r="258">
      <c r="A258">
        <f>IF(G258="","",ROW()-1)</f>
        <v/>
      </c>
      <c r="B258" s="6" t="n"/>
      <c r="G258" s="3" t="n"/>
      <c r="H258" s="3" t="n"/>
      <c r="K258" s="3">
        <f>IF(G258="","",G258*H258)</f>
        <v/>
      </c>
      <c r="L258" s="3">
        <f>IF(G258="","",Settings!$C$5)</f>
        <v/>
      </c>
      <c r="M258" s="3">
        <f>IF(G258="","",IF(F258="SELL",K258*IF(E258="Equity Intraday",Settings!$C$8,Settings!$C$7),0))</f>
        <v/>
      </c>
      <c r="N258" s="3">
        <f>IF(G258="","",K258*(Settings!$C$9+Settings!$C$10))</f>
        <v/>
      </c>
      <c r="O258" s="3">
        <f>IF(G258="","",IF(F258="BUY",K258*Settings!$C$11,0))</f>
        <v/>
      </c>
      <c r="P258" s="3">
        <f>IF(G258="","",L258*Settings!$C$6)</f>
        <v/>
      </c>
      <c r="Q258" s="3">
        <f>IF(G258="","",IF(AND(F258="SELL",E258="Equity Delivery"),Settings!$C$13,0))</f>
        <v/>
      </c>
      <c r="R258" s="3">
        <f>IF(G258="","",SUM(L258:Q258))</f>
        <v/>
      </c>
      <c r="S258" s="3">
        <f>IF(G258="","",IF(F258="BUY",-(K258+R258),K258-R258))</f>
        <v/>
      </c>
    </row>
    <row r="259">
      <c r="A259">
        <f>IF(G259="","",ROW()-1)</f>
        <v/>
      </c>
      <c r="B259" s="6" t="n"/>
      <c r="G259" s="3" t="n"/>
      <c r="H259" s="3" t="n"/>
      <c r="K259" s="3">
        <f>IF(G259="","",G259*H259)</f>
        <v/>
      </c>
      <c r="L259" s="3">
        <f>IF(G259="","",Settings!$C$5)</f>
        <v/>
      </c>
      <c r="M259" s="3">
        <f>IF(G259="","",IF(F259="SELL",K259*IF(E259="Equity Intraday",Settings!$C$8,Settings!$C$7),0))</f>
        <v/>
      </c>
      <c r="N259" s="3">
        <f>IF(G259="","",K259*(Settings!$C$9+Settings!$C$10))</f>
        <v/>
      </c>
      <c r="O259" s="3">
        <f>IF(G259="","",IF(F259="BUY",K259*Settings!$C$11,0))</f>
        <v/>
      </c>
      <c r="P259" s="3">
        <f>IF(G259="","",L259*Settings!$C$6)</f>
        <v/>
      </c>
      <c r="Q259" s="3">
        <f>IF(G259="","",IF(AND(F259="SELL",E259="Equity Delivery"),Settings!$C$13,0))</f>
        <v/>
      </c>
      <c r="R259" s="3">
        <f>IF(G259="","",SUM(L259:Q259))</f>
        <v/>
      </c>
      <c r="S259" s="3">
        <f>IF(G259="","",IF(F259="BUY",-(K259+R259),K259-R259))</f>
        <v/>
      </c>
    </row>
    <row r="260">
      <c r="A260">
        <f>IF(G260="","",ROW()-1)</f>
        <v/>
      </c>
      <c r="B260" s="6" t="n"/>
      <c r="G260" s="3" t="n"/>
      <c r="H260" s="3" t="n"/>
      <c r="K260" s="3">
        <f>IF(G260="","",G260*H260)</f>
        <v/>
      </c>
      <c r="L260" s="3">
        <f>IF(G260="","",Settings!$C$5)</f>
        <v/>
      </c>
      <c r="M260" s="3">
        <f>IF(G260="","",IF(F260="SELL",K260*IF(E260="Equity Intraday",Settings!$C$8,Settings!$C$7),0))</f>
        <v/>
      </c>
      <c r="N260" s="3">
        <f>IF(G260="","",K260*(Settings!$C$9+Settings!$C$10))</f>
        <v/>
      </c>
      <c r="O260" s="3">
        <f>IF(G260="","",IF(F260="BUY",K260*Settings!$C$11,0))</f>
        <v/>
      </c>
      <c r="P260" s="3">
        <f>IF(G260="","",L260*Settings!$C$6)</f>
        <v/>
      </c>
      <c r="Q260" s="3">
        <f>IF(G260="","",IF(AND(F260="SELL",E260="Equity Delivery"),Settings!$C$13,0))</f>
        <v/>
      </c>
      <c r="R260" s="3">
        <f>IF(G260="","",SUM(L260:Q260))</f>
        <v/>
      </c>
      <c r="S260" s="3">
        <f>IF(G260="","",IF(F260="BUY",-(K260+R260),K260-R260))</f>
        <v/>
      </c>
    </row>
    <row r="261">
      <c r="A261">
        <f>IF(G261="","",ROW()-1)</f>
        <v/>
      </c>
      <c r="B261" s="6" t="n"/>
      <c r="G261" s="3" t="n"/>
      <c r="H261" s="3" t="n"/>
      <c r="K261" s="3">
        <f>IF(G261="","",G261*H261)</f>
        <v/>
      </c>
      <c r="L261" s="3">
        <f>IF(G261="","",Settings!$C$5)</f>
        <v/>
      </c>
      <c r="M261" s="3">
        <f>IF(G261="","",IF(F261="SELL",K261*IF(E261="Equity Intraday",Settings!$C$8,Settings!$C$7),0))</f>
        <v/>
      </c>
      <c r="N261" s="3">
        <f>IF(G261="","",K261*(Settings!$C$9+Settings!$C$10))</f>
        <v/>
      </c>
      <c r="O261" s="3">
        <f>IF(G261="","",IF(F261="BUY",K261*Settings!$C$11,0))</f>
        <v/>
      </c>
      <c r="P261" s="3">
        <f>IF(G261="","",L261*Settings!$C$6)</f>
        <v/>
      </c>
      <c r="Q261" s="3">
        <f>IF(G261="","",IF(AND(F261="SELL",E261="Equity Delivery"),Settings!$C$13,0))</f>
        <v/>
      </c>
      <c r="R261" s="3">
        <f>IF(G261="","",SUM(L261:Q261))</f>
        <v/>
      </c>
      <c r="S261" s="3">
        <f>IF(G261="","",IF(F261="BUY",-(K261+R261),K261-R261))</f>
        <v/>
      </c>
    </row>
    <row r="262">
      <c r="A262">
        <f>IF(G262="","",ROW()-1)</f>
        <v/>
      </c>
      <c r="B262" s="6" t="n"/>
      <c r="G262" s="3" t="n"/>
      <c r="H262" s="3" t="n"/>
      <c r="K262" s="3">
        <f>IF(G262="","",G262*H262)</f>
        <v/>
      </c>
      <c r="L262" s="3">
        <f>IF(G262="","",Settings!$C$5)</f>
        <v/>
      </c>
      <c r="M262" s="3">
        <f>IF(G262="","",IF(F262="SELL",K262*IF(E262="Equity Intraday",Settings!$C$8,Settings!$C$7),0))</f>
        <v/>
      </c>
      <c r="N262" s="3">
        <f>IF(G262="","",K262*(Settings!$C$9+Settings!$C$10))</f>
        <v/>
      </c>
      <c r="O262" s="3">
        <f>IF(G262="","",IF(F262="BUY",K262*Settings!$C$11,0))</f>
        <v/>
      </c>
      <c r="P262" s="3">
        <f>IF(G262="","",L262*Settings!$C$6)</f>
        <v/>
      </c>
      <c r="Q262" s="3">
        <f>IF(G262="","",IF(AND(F262="SELL",E262="Equity Delivery"),Settings!$C$13,0))</f>
        <v/>
      </c>
      <c r="R262" s="3">
        <f>IF(G262="","",SUM(L262:Q262))</f>
        <v/>
      </c>
      <c r="S262" s="3">
        <f>IF(G262="","",IF(F262="BUY",-(K262+R262),K262-R262))</f>
        <v/>
      </c>
    </row>
    <row r="263">
      <c r="A263">
        <f>IF(G263="","",ROW()-1)</f>
        <v/>
      </c>
      <c r="B263" s="6" t="n"/>
      <c r="G263" s="3" t="n"/>
      <c r="H263" s="3" t="n"/>
      <c r="K263" s="3">
        <f>IF(G263="","",G263*H263)</f>
        <v/>
      </c>
      <c r="L263" s="3">
        <f>IF(G263="","",Settings!$C$5)</f>
        <v/>
      </c>
      <c r="M263" s="3">
        <f>IF(G263="","",IF(F263="SELL",K263*IF(E263="Equity Intraday",Settings!$C$8,Settings!$C$7),0))</f>
        <v/>
      </c>
      <c r="N263" s="3">
        <f>IF(G263="","",K263*(Settings!$C$9+Settings!$C$10))</f>
        <v/>
      </c>
      <c r="O263" s="3">
        <f>IF(G263="","",IF(F263="BUY",K263*Settings!$C$11,0))</f>
        <v/>
      </c>
      <c r="P263" s="3">
        <f>IF(G263="","",L263*Settings!$C$6)</f>
        <v/>
      </c>
      <c r="Q263" s="3">
        <f>IF(G263="","",IF(AND(F263="SELL",E263="Equity Delivery"),Settings!$C$13,0))</f>
        <v/>
      </c>
      <c r="R263" s="3">
        <f>IF(G263="","",SUM(L263:Q263))</f>
        <v/>
      </c>
      <c r="S263" s="3">
        <f>IF(G263="","",IF(F263="BUY",-(K263+R263),K263-R263))</f>
        <v/>
      </c>
    </row>
    <row r="264">
      <c r="A264">
        <f>IF(G264="","",ROW()-1)</f>
        <v/>
      </c>
      <c r="B264" s="6" t="n"/>
      <c r="G264" s="3" t="n"/>
      <c r="H264" s="3" t="n"/>
      <c r="K264" s="3">
        <f>IF(G264="","",G264*H264)</f>
        <v/>
      </c>
      <c r="L264" s="3">
        <f>IF(G264="","",Settings!$C$5)</f>
        <v/>
      </c>
      <c r="M264" s="3">
        <f>IF(G264="","",IF(F264="SELL",K264*IF(E264="Equity Intraday",Settings!$C$8,Settings!$C$7),0))</f>
        <v/>
      </c>
      <c r="N264" s="3">
        <f>IF(G264="","",K264*(Settings!$C$9+Settings!$C$10))</f>
        <v/>
      </c>
      <c r="O264" s="3">
        <f>IF(G264="","",IF(F264="BUY",K264*Settings!$C$11,0))</f>
        <v/>
      </c>
      <c r="P264" s="3">
        <f>IF(G264="","",L264*Settings!$C$6)</f>
        <v/>
      </c>
      <c r="Q264" s="3">
        <f>IF(G264="","",IF(AND(F264="SELL",E264="Equity Delivery"),Settings!$C$13,0))</f>
        <v/>
      </c>
      <c r="R264" s="3">
        <f>IF(G264="","",SUM(L264:Q264))</f>
        <v/>
      </c>
      <c r="S264" s="3">
        <f>IF(G264="","",IF(F264="BUY",-(K264+R264),K264-R264))</f>
        <v/>
      </c>
    </row>
    <row r="265">
      <c r="A265">
        <f>IF(G265="","",ROW()-1)</f>
        <v/>
      </c>
      <c r="B265" s="6" t="n"/>
      <c r="G265" s="3" t="n"/>
      <c r="H265" s="3" t="n"/>
      <c r="K265" s="3">
        <f>IF(G265="","",G265*H265)</f>
        <v/>
      </c>
      <c r="L265" s="3">
        <f>IF(G265="","",Settings!$C$5)</f>
        <v/>
      </c>
      <c r="M265" s="3">
        <f>IF(G265="","",IF(F265="SELL",K265*IF(E265="Equity Intraday",Settings!$C$8,Settings!$C$7),0))</f>
        <v/>
      </c>
      <c r="N265" s="3">
        <f>IF(G265="","",K265*(Settings!$C$9+Settings!$C$10))</f>
        <v/>
      </c>
      <c r="O265" s="3">
        <f>IF(G265="","",IF(F265="BUY",K265*Settings!$C$11,0))</f>
        <v/>
      </c>
      <c r="P265" s="3">
        <f>IF(G265="","",L265*Settings!$C$6)</f>
        <v/>
      </c>
      <c r="Q265" s="3">
        <f>IF(G265="","",IF(AND(F265="SELL",E265="Equity Delivery"),Settings!$C$13,0))</f>
        <v/>
      </c>
      <c r="R265" s="3">
        <f>IF(G265="","",SUM(L265:Q265))</f>
        <v/>
      </c>
      <c r="S265" s="3">
        <f>IF(G265="","",IF(F265="BUY",-(K265+R265),K265-R265))</f>
        <v/>
      </c>
    </row>
    <row r="266">
      <c r="A266">
        <f>IF(G266="","",ROW()-1)</f>
        <v/>
      </c>
      <c r="B266" s="6" t="n"/>
      <c r="G266" s="3" t="n"/>
      <c r="H266" s="3" t="n"/>
      <c r="K266" s="3">
        <f>IF(G266="","",G266*H266)</f>
        <v/>
      </c>
      <c r="L266" s="3">
        <f>IF(G266="","",Settings!$C$5)</f>
        <v/>
      </c>
      <c r="M266" s="3">
        <f>IF(G266="","",IF(F266="SELL",K266*IF(E266="Equity Intraday",Settings!$C$8,Settings!$C$7),0))</f>
        <v/>
      </c>
      <c r="N266" s="3">
        <f>IF(G266="","",K266*(Settings!$C$9+Settings!$C$10))</f>
        <v/>
      </c>
      <c r="O266" s="3">
        <f>IF(G266="","",IF(F266="BUY",K266*Settings!$C$11,0))</f>
        <v/>
      </c>
      <c r="P266" s="3">
        <f>IF(G266="","",L266*Settings!$C$6)</f>
        <v/>
      </c>
      <c r="Q266" s="3">
        <f>IF(G266="","",IF(AND(F266="SELL",E266="Equity Delivery"),Settings!$C$13,0))</f>
        <v/>
      </c>
      <c r="R266" s="3">
        <f>IF(G266="","",SUM(L266:Q266))</f>
        <v/>
      </c>
      <c r="S266" s="3">
        <f>IF(G266="","",IF(F266="BUY",-(K266+R266),K266-R266))</f>
        <v/>
      </c>
    </row>
    <row r="267">
      <c r="A267">
        <f>IF(G267="","",ROW()-1)</f>
        <v/>
      </c>
      <c r="B267" s="6" t="n"/>
      <c r="G267" s="3" t="n"/>
      <c r="H267" s="3" t="n"/>
      <c r="K267" s="3">
        <f>IF(G267="","",G267*H267)</f>
        <v/>
      </c>
      <c r="L267" s="3">
        <f>IF(G267="","",Settings!$C$5)</f>
        <v/>
      </c>
      <c r="M267" s="3">
        <f>IF(G267="","",IF(F267="SELL",K267*IF(E267="Equity Intraday",Settings!$C$8,Settings!$C$7),0))</f>
        <v/>
      </c>
      <c r="N267" s="3">
        <f>IF(G267="","",K267*(Settings!$C$9+Settings!$C$10))</f>
        <v/>
      </c>
      <c r="O267" s="3">
        <f>IF(G267="","",IF(F267="BUY",K267*Settings!$C$11,0))</f>
        <v/>
      </c>
      <c r="P267" s="3">
        <f>IF(G267="","",L267*Settings!$C$6)</f>
        <v/>
      </c>
      <c r="Q267" s="3">
        <f>IF(G267="","",IF(AND(F267="SELL",E267="Equity Delivery"),Settings!$C$13,0))</f>
        <v/>
      </c>
      <c r="R267" s="3">
        <f>IF(G267="","",SUM(L267:Q267))</f>
        <v/>
      </c>
      <c r="S267" s="3">
        <f>IF(G267="","",IF(F267="BUY",-(K267+R267),K267-R267))</f>
        <v/>
      </c>
    </row>
    <row r="268">
      <c r="A268">
        <f>IF(G268="","",ROW()-1)</f>
        <v/>
      </c>
      <c r="B268" s="6" t="n"/>
      <c r="G268" s="3" t="n"/>
      <c r="H268" s="3" t="n"/>
      <c r="K268" s="3">
        <f>IF(G268="","",G268*H268)</f>
        <v/>
      </c>
      <c r="L268" s="3">
        <f>IF(G268="","",Settings!$C$5)</f>
        <v/>
      </c>
      <c r="M268" s="3">
        <f>IF(G268="","",IF(F268="SELL",K268*IF(E268="Equity Intraday",Settings!$C$8,Settings!$C$7),0))</f>
        <v/>
      </c>
      <c r="N268" s="3">
        <f>IF(G268="","",K268*(Settings!$C$9+Settings!$C$10))</f>
        <v/>
      </c>
      <c r="O268" s="3">
        <f>IF(G268="","",IF(F268="BUY",K268*Settings!$C$11,0))</f>
        <v/>
      </c>
      <c r="P268" s="3">
        <f>IF(G268="","",L268*Settings!$C$6)</f>
        <v/>
      </c>
      <c r="Q268" s="3">
        <f>IF(G268="","",IF(AND(F268="SELL",E268="Equity Delivery"),Settings!$C$13,0))</f>
        <v/>
      </c>
      <c r="R268" s="3">
        <f>IF(G268="","",SUM(L268:Q268))</f>
        <v/>
      </c>
      <c r="S268" s="3">
        <f>IF(G268="","",IF(F268="BUY",-(K268+R268),K268-R268))</f>
        <v/>
      </c>
    </row>
    <row r="269">
      <c r="A269">
        <f>IF(G269="","",ROW()-1)</f>
        <v/>
      </c>
      <c r="B269" s="6" t="n"/>
      <c r="G269" s="3" t="n"/>
      <c r="H269" s="3" t="n"/>
      <c r="K269" s="3">
        <f>IF(G269="","",G269*H269)</f>
        <v/>
      </c>
      <c r="L269" s="3">
        <f>IF(G269="","",Settings!$C$5)</f>
        <v/>
      </c>
      <c r="M269" s="3">
        <f>IF(G269="","",IF(F269="SELL",K269*IF(E269="Equity Intraday",Settings!$C$8,Settings!$C$7),0))</f>
        <v/>
      </c>
      <c r="N269" s="3">
        <f>IF(G269="","",K269*(Settings!$C$9+Settings!$C$10))</f>
        <v/>
      </c>
      <c r="O269" s="3">
        <f>IF(G269="","",IF(F269="BUY",K269*Settings!$C$11,0))</f>
        <v/>
      </c>
      <c r="P269" s="3">
        <f>IF(G269="","",L269*Settings!$C$6)</f>
        <v/>
      </c>
      <c r="Q269" s="3">
        <f>IF(G269="","",IF(AND(F269="SELL",E269="Equity Delivery"),Settings!$C$13,0))</f>
        <v/>
      </c>
      <c r="R269" s="3">
        <f>IF(G269="","",SUM(L269:Q269))</f>
        <v/>
      </c>
      <c r="S269" s="3">
        <f>IF(G269="","",IF(F269="BUY",-(K269+R269),K269-R269))</f>
        <v/>
      </c>
    </row>
    <row r="270">
      <c r="A270">
        <f>IF(G270="","",ROW()-1)</f>
        <v/>
      </c>
      <c r="B270" s="6" t="n"/>
      <c r="G270" s="3" t="n"/>
      <c r="H270" s="3" t="n"/>
      <c r="K270" s="3">
        <f>IF(G270="","",G270*H270)</f>
        <v/>
      </c>
      <c r="L270" s="3">
        <f>IF(G270="","",Settings!$C$5)</f>
        <v/>
      </c>
      <c r="M270" s="3">
        <f>IF(G270="","",IF(F270="SELL",K270*IF(E270="Equity Intraday",Settings!$C$8,Settings!$C$7),0))</f>
        <v/>
      </c>
      <c r="N270" s="3">
        <f>IF(G270="","",K270*(Settings!$C$9+Settings!$C$10))</f>
        <v/>
      </c>
      <c r="O270" s="3">
        <f>IF(G270="","",IF(F270="BUY",K270*Settings!$C$11,0))</f>
        <v/>
      </c>
      <c r="P270" s="3">
        <f>IF(G270="","",L270*Settings!$C$6)</f>
        <v/>
      </c>
      <c r="Q270" s="3">
        <f>IF(G270="","",IF(AND(F270="SELL",E270="Equity Delivery"),Settings!$C$13,0))</f>
        <v/>
      </c>
      <c r="R270" s="3">
        <f>IF(G270="","",SUM(L270:Q270))</f>
        <v/>
      </c>
      <c r="S270" s="3">
        <f>IF(G270="","",IF(F270="BUY",-(K270+R270),K270-R270))</f>
        <v/>
      </c>
    </row>
    <row r="271">
      <c r="A271">
        <f>IF(G271="","",ROW()-1)</f>
        <v/>
      </c>
      <c r="B271" s="6" t="n"/>
      <c r="G271" s="3" t="n"/>
      <c r="H271" s="3" t="n"/>
      <c r="K271" s="3">
        <f>IF(G271="","",G271*H271)</f>
        <v/>
      </c>
      <c r="L271" s="3">
        <f>IF(G271="","",Settings!$C$5)</f>
        <v/>
      </c>
      <c r="M271" s="3">
        <f>IF(G271="","",IF(F271="SELL",K271*IF(E271="Equity Intraday",Settings!$C$8,Settings!$C$7),0))</f>
        <v/>
      </c>
      <c r="N271" s="3">
        <f>IF(G271="","",K271*(Settings!$C$9+Settings!$C$10))</f>
        <v/>
      </c>
      <c r="O271" s="3">
        <f>IF(G271="","",IF(F271="BUY",K271*Settings!$C$11,0))</f>
        <v/>
      </c>
      <c r="P271" s="3">
        <f>IF(G271="","",L271*Settings!$C$6)</f>
        <v/>
      </c>
      <c r="Q271" s="3">
        <f>IF(G271="","",IF(AND(F271="SELL",E271="Equity Delivery"),Settings!$C$13,0))</f>
        <v/>
      </c>
      <c r="R271" s="3">
        <f>IF(G271="","",SUM(L271:Q271))</f>
        <v/>
      </c>
      <c r="S271" s="3">
        <f>IF(G271="","",IF(F271="BUY",-(K271+R271),K271-R271))</f>
        <v/>
      </c>
    </row>
    <row r="272">
      <c r="A272">
        <f>IF(G272="","",ROW()-1)</f>
        <v/>
      </c>
      <c r="B272" s="6" t="n"/>
      <c r="G272" s="3" t="n"/>
      <c r="H272" s="3" t="n"/>
      <c r="K272" s="3">
        <f>IF(G272="","",G272*H272)</f>
        <v/>
      </c>
      <c r="L272" s="3">
        <f>IF(G272="","",Settings!$C$5)</f>
        <v/>
      </c>
      <c r="M272" s="3">
        <f>IF(G272="","",IF(F272="SELL",K272*IF(E272="Equity Intraday",Settings!$C$8,Settings!$C$7),0))</f>
        <v/>
      </c>
      <c r="N272" s="3">
        <f>IF(G272="","",K272*(Settings!$C$9+Settings!$C$10))</f>
        <v/>
      </c>
      <c r="O272" s="3">
        <f>IF(G272="","",IF(F272="BUY",K272*Settings!$C$11,0))</f>
        <v/>
      </c>
      <c r="P272" s="3">
        <f>IF(G272="","",L272*Settings!$C$6)</f>
        <v/>
      </c>
      <c r="Q272" s="3">
        <f>IF(G272="","",IF(AND(F272="SELL",E272="Equity Delivery"),Settings!$C$13,0))</f>
        <v/>
      </c>
      <c r="R272" s="3">
        <f>IF(G272="","",SUM(L272:Q272))</f>
        <v/>
      </c>
      <c r="S272" s="3">
        <f>IF(G272="","",IF(F272="BUY",-(K272+R272),K272-R272))</f>
        <v/>
      </c>
    </row>
    <row r="273">
      <c r="A273">
        <f>IF(G273="","",ROW()-1)</f>
        <v/>
      </c>
      <c r="B273" s="6" t="n"/>
      <c r="G273" s="3" t="n"/>
      <c r="H273" s="3" t="n"/>
      <c r="K273" s="3">
        <f>IF(G273="","",G273*H273)</f>
        <v/>
      </c>
      <c r="L273" s="3">
        <f>IF(G273="","",Settings!$C$5)</f>
        <v/>
      </c>
      <c r="M273" s="3">
        <f>IF(G273="","",IF(F273="SELL",K273*IF(E273="Equity Intraday",Settings!$C$8,Settings!$C$7),0))</f>
        <v/>
      </c>
      <c r="N273" s="3">
        <f>IF(G273="","",K273*(Settings!$C$9+Settings!$C$10))</f>
        <v/>
      </c>
      <c r="O273" s="3">
        <f>IF(G273="","",IF(F273="BUY",K273*Settings!$C$11,0))</f>
        <v/>
      </c>
      <c r="P273" s="3">
        <f>IF(G273="","",L273*Settings!$C$6)</f>
        <v/>
      </c>
      <c r="Q273" s="3">
        <f>IF(G273="","",IF(AND(F273="SELL",E273="Equity Delivery"),Settings!$C$13,0))</f>
        <v/>
      </c>
      <c r="R273" s="3">
        <f>IF(G273="","",SUM(L273:Q273))</f>
        <v/>
      </c>
      <c r="S273" s="3">
        <f>IF(G273="","",IF(F273="BUY",-(K273+R273),K273-R273))</f>
        <v/>
      </c>
    </row>
    <row r="274">
      <c r="A274">
        <f>IF(G274="","",ROW()-1)</f>
        <v/>
      </c>
      <c r="B274" s="6" t="n"/>
      <c r="G274" s="3" t="n"/>
      <c r="H274" s="3" t="n"/>
      <c r="K274" s="3">
        <f>IF(G274="","",G274*H274)</f>
        <v/>
      </c>
      <c r="L274" s="3">
        <f>IF(G274="","",Settings!$C$5)</f>
        <v/>
      </c>
      <c r="M274" s="3">
        <f>IF(G274="","",IF(F274="SELL",K274*IF(E274="Equity Intraday",Settings!$C$8,Settings!$C$7),0))</f>
        <v/>
      </c>
      <c r="N274" s="3">
        <f>IF(G274="","",K274*(Settings!$C$9+Settings!$C$10))</f>
        <v/>
      </c>
      <c r="O274" s="3">
        <f>IF(G274="","",IF(F274="BUY",K274*Settings!$C$11,0))</f>
        <v/>
      </c>
      <c r="P274" s="3">
        <f>IF(G274="","",L274*Settings!$C$6)</f>
        <v/>
      </c>
      <c r="Q274" s="3">
        <f>IF(G274="","",IF(AND(F274="SELL",E274="Equity Delivery"),Settings!$C$13,0))</f>
        <v/>
      </c>
      <c r="R274" s="3">
        <f>IF(G274="","",SUM(L274:Q274))</f>
        <v/>
      </c>
      <c r="S274" s="3">
        <f>IF(G274="","",IF(F274="BUY",-(K274+R274),K274-R274))</f>
        <v/>
      </c>
    </row>
    <row r="275">
      <c r="A275">
        <f>IF(G275="","",ROW()-1)</f>
        <v/>
      </c>
      <c r="B275" s="6" t="n"/>
      <c r="G275" s="3" t="n"/>
      <c r="H275" s="3" t="n"/>
      <c r="K275" s="3">
        <f>IF(G275="","",G275*H275)</f>
        <v/>
      </c>
      <c r="L275" s="3">
        <f>IF(G275="","",Settings!$C$5)</f>
        <v/>
      </c>
      <c r="M275" s="3">
        <f>IF(G275="","",IF(F275="SELL",K275*IF(E275="Equity Intraday",Settings!$C$8,Settings!$C$7),0))</f>
        <v/>
      </c>
      <c r="N275" s="3">
        <f>IF(G275="","",K275*(Settings!$C$9+Settings!$C$10))</f>
        <v/>
      </c>
      <c r="O275" s="3">
        <f>IF(G275="","",IF(F275="BUY",K275*Settings!$C$11,0))</f>
        <v/>
      </c>
      <c r="P275" s="3">
        <f>IF(G275="","",L275*Settings!$C$6)</f>
        <v/>
      </c>
      <c r="Q275" s="3">
        <f>IF(G275="","",IF(AND(F275="SELL",E275="Equity Delivery"),Settings!$C$13,0))</f>
        <v/>
      </c>
      <c r="R275" s="3">
        <f>IF(G275="","",SUM(L275:Q275))</f>
        <v/>
      </c>
      <c r="S275" s="3">
        <f>IF(G275="","",IF(F275="BUY",-(K275+R275),K275-R275))</f>
        <v/>
      </c>
    </row>
    <row r="276">
      <c r="A276">
        <f>IF(G276="","",ROW()-1)</f>
        <v/>
      </c>
      <c r="B276" s="6" t="n"/>
      <c r="G276" s="3" t="n"/>
      <c r="H276" s="3" t="n"/>
      <c r="K276" s="3">
        <f>IF(G276="","",G276*H276)</f>
        <v/>
      </c>
      <c r="L276" s="3">
        <f>IF(G276="","",Settings!$C$5)</f>
        <v/>
      </c>
      <c r="M276" s="3">
        <f>IF(G276="","",IF(F276="SELL",K276*IF(E276="Equity Intraday",Settings!$C$8,Settings!$C$7),0))</f>
        <v/>
      </c>
      <c r="N276" s="3">
        <f>IF(G276="","",K276*(Settings!$C$9+Settings!$C$10))</f>
        <v/>
      </c>
      <c r="O276" s="3">
        <f>IF(G276="","",IF(F276="BUY",K276*Settings!$C$11,0))</f>
        <v/>
      </c>
      <c r="P276" s="3">
        <f>IF(G276="","",L276*Settings!$C$6)</f>
        <v/>
      </c>
      <c r="Q276" s="3">
        <f>IF(G276="","",IF(AND(F276="SELL",E276="Equity Delivery"),Settings!$C$13,0))</f>
        <v/>
      </c>
      <c r="R276" s="3">
        <f>IF(G276="","",SUM(L276:Q276))</f>
        <v/>
      </c>
      <c r="S276" s="3">
        <f>IF(G276="","",IF(F276="BUY",-(K276+R276),K276-R276))</f>
        <v/>
      </c>
    </row>
    <row r="277">
      <c r="A277">
        <f>IF(G277="","",ROW()-1)</f>
        <v/>
      </c>
      <c r="B277" s="6" t="n"/>
      <c r="G277" s="3" t="n"/>
      <c r="H277" s="3" t="n"/>
      <c r="K277" s="3">
        <f>IF(G277="","",G277*H277)</f>
        <v/>
      </c>
      <c r="L277" s="3">
        <f>IF(G277="","",Settings!$C$5)</f>
        <v/>
      </c>
      <c r="M277" s="3">
        <f>IF(G277="","",IF(F277="SELL",K277*IF(E277="Equity Intraday",Settings!$C$8,Settings!$C$7),0))</f>
        <v/>
      </c>
      <c r="N277" s="3">
        <f>IF(G277="","",K277*(Settings!$C$9+Settings!$C$10))</f>
        <v/>
      </c>
      <c r="O277" s="3">
        <f>IF(G277="","",IF(F277="BUY",K277*Settings!$C$11,0))</f>
        <v/>
      </c>
      <c r="P277" s="3">
        <f>IF(G277="","",L277*Settings!$C$6)</f>
        <v/>
      </c>
      <c r="Q277" s="3">
        <f>IF(G277="","",IF(AND(F277="SELL",E277="Equity Delivery"),Settings!$C$13,0))</f>
        <v/>
      </c>
      <c r="R277" s="3">
        <f>IF(G277="","",SUM(L277:Q277))</f>
        <v/>
      </c>
      <c r="S277" s="3">
        <f>IF(G277="","",IF(F277="BUY",-(K277+R277),K277-R277))</f>
        <v/>
      </c>
    </row>
    <row r="278">
      <c r="A278">
        <f>IF(G278="","",ROW()-1)</f>
        <v/>
      </c>
      <c r="B278" s="6" t="n"/>
      <c r="G278" s="3" t="n"/>
      <c r="H278" s="3" t="n"/>
      <c r="K278" s="3">
        <f>IF(G278="","",G278*H278)</f>
        <v/>
      </c>
      <c r="L278" s="3">
        <f>IF(G278="","",Settings!$C$5)</f>
        <v/>
      </c>
      <c r="M278" s="3">
        <f>IF(G278="","",IF(F278="SELL",K278*IF(E278="Equity Intraday",Settings!$C$8,Settings!$C$7),0))</f>
        <v/>
      </c>
      <c r="N278" s="3">
        <f>IF(G278="","",K278*(Settings!$C$9+Settings!$C$10))</f>
        <v/>
      </c>
      <c r="O278" s="3">
        <f>IF(G278="","",IF(F278="BUY",K278*Settings!$C$11,0))</f>
        <v/>
      </c>
      <c r="P278" s="3">
        <f>IF(G278="","",L278*Settings!$C$6)</f>
        <v/>
      </c>
      <c r="Q278" s="3">
        <f>IF(G278="","",IF(AND(F278="SELL",E278="Equity Delivery"),Settings!$C$13,0))</f>
        <v/>
      </c>
      <c r="R278" s="3">
        <f>IF(G278="","",SUM(L278:Q278))</f>
        <v/>
      </c>
      <c r="S278" s="3">
        <f>IF(G278="","",IF(F278="BUY",-(K278+R278),K278-R278))</f>
        <v/>
      </c>
    </row>
    <row r="279">
      <c r="A279">
        <f>IF(G279="","",ROW()-1)</f>
        <v/>
      </c>
      <c r="B279" s="6" t="n"/>
      <c r="G279" s="3" t="n"/>
      <c r="H279" s="3" t="n"/>
      <c r="K279" s="3">
        <f>IF(G279="","",G279*H279)</f>
        <v/>
      </c>
      <c r="L279" s="3">
        <f>IF(G279="","",Settings!$C$5)</f>
        <v/>
      </c>
      <c r="M279" s="3">
        <f>IF(G279="","",IF(F279="SELL",K279*IF(E279="Equity Intraday",Settings!$C$8,Settings!$C$7),0))</f>
        <v/>
      </c>
      <c r="N279" s="3">
        <f>IF(G279="","",K279*(Settings!$C$9+Settings!$C$10))</f>
        <v/>
      </c>
      <c r="O279" s="3">
        <f>IF(G279="","",IF(F279="BUY",K279*Settings!$C$11,0))</f>
        <v/>
      </c>
      <c r="P279" s="3">
        <f>IF(G279="","",L279*Settings!$C$6)</f>
        <v/>
      </c>
      <c r="Q279" s="3">
        <f>IF(G279="","",IF(AND(F279="SELL",E279="Equity Delivery"),Settings!$C$13,0))</f>
        <v/>
      </c>
      <c r="R279" s="3">
        <f>IF(G279="","",SUM(L279:Q279))</f>
        <v/>
      </c>
      <c r="S279" s="3">
        <f>IF(G279="","",IF(F279="BUY",-(K279+R279),K279-R279))</f>
        <v/>
      </c>
    </row>
    <row r="280">
      <c r="A280">
        <f>IF(G280="","",ROW()-1)</f>
        <v/>
      </c>
      <c r="B280" s="6" t="n"/>
      <c r="G280" s="3" t="n"/>
      <c r="H280" s="3" t="n"/>
      <c r="K280" s="3">
        <f>IF(G280="","",G280*H280)</f>
        <v/>
      </c>
      <c r="L280" s="3">
        <f>IF(G280="","",Settings!$C$5)</f>
        <v/>
      </c>
      <c r="M280" s="3">
        <f>IF(G280="","",IF(F280="SELL",K280*IF(E280="Equity Intraday",Settings!$C$8,Settings!$C$7),0))</f>
        <v/>
      </c>
      <c r="N280" s="3">
        <f>IF(G280="","",K280*(Settings!$C$9+Settings!$C$10))</f>
        <v/>
      </c>
      <c r="O280" s="3">
        <f>IF(G280="","",IF(F280="BUY",K280*Settings!$C$11,0))</f>
        <v/>
      </c>
      <c r="P280" s="3">
        <f>IF(G280="","",L280*Settings!$C$6)</f>
        <v/>
      </c>
      <c r="Q280" s="3">
        <f>IF(G280="","",IF(AND(F280="SELL",E280="Equity Delivery"),Settings!$C$13,0))</f>
        <v/>
      </c>
      <c r="R280" s="3">
        <f>IF(G280="","",SUM(L280:Q280))</f>
        <v/>
      </c>
      <c r="S280" s="3">
        <f>IF(G280="","",IF(F280="BUY",-(K280+R280),K280-R280))</f>
        <v/>
      </c>
    </row>
    <row r="281">
      <c r="A281">
        <f>IF(G281="","",ROW()-1)</f>
        <v/>
      </c>
      <c r="B281" s="6" t="n"/>
      <c r="G281" s="3" t="n"/>
      <c r="H281" s="3" t="n"/>
      <c r="K281" s="3">
        <f>IF(G281="","",G281*H281)</f>
        <v/>
      </c>
      <c r="L281" s="3">
        <f>IF(G281="","",Settings!$C$5)</f>
        <v/>
      </c>
      <c r="M281" s="3">
        <f>IF(G281="","",IF(F281="SELL",K281*IF(E281="Equity Intraday",Settings!$C$8,Settings!$C$7),0))</f>
        <v/>
      </c>
      <c r="N281" s="3">
        <f>IF(G281="","",K281*(Settings!$C$9+Settings!$C$10))</f>
        <v/>
      </c>
      <c r="O281" s="3">
        <f>IF(G281="","",IF(F281="BUY",K281*Settings!$C$11,0))</f>
        <v/>
      </c>
      <c r="P281" s="3">
        <f>IF(G281="","",L281*Settings!$C$6)</f>
        <v/>
      </c>
      <c r="Q281" s="3">
        <f>IF(G281="","",IF(AND(F281="SELL",E281="Equity Delivery"),Settings!$C$13,0))</f>
        <v/>
      </c>
      <c r="R281" s="3">
        <f>IF(G281="","",SUM(L281:Q281))</f>
        <v/>
      </c>
      <c r="S281" s="3">
        <f>IF(G281="","",IF(F281="BUY",-(K281+R281),K281-R281))</f>
        <v/>
      </c>
    </row>
    <row r="282">
      <c r="A282">
        <f>IF(G282="","",ROW()-1)</f>
        <v/>
      </c>
      <c r="B282" s="6" t="n"/>
      <c r="G282" s="3" t="n"/>
      <c r="H282" s="3" t="n"/>
      <c r="K282" s="3">
        <f>IF(G282="","",G282*H282)</f>
        <v/>
      </c>
      <c r="L282" s="3">
        <f>IF(G282="","",Settings!$C$5)</f>
        <v/>
      </c>
      <c r="M282" s="3">
        <f>IF(G282="","",IF(F282="SELL",K282*IF(E282="Equity Intraday",Settings!$C$8,Settings!$C$7),0))</f>
        <v/>
      </c>
      <c r="N282" s="3">
        <f>IF(G282="","",K282*(Settings!$C$9+Settings!$C$10))</f>
        <v/>
      </c>
      <c r="O282" s="3">
        <f>IF(G282="","",IF(F282="BUY",K282*Settings!$C$11,0))</f>
        <v/>
      </c>
      <c r="P282" s="3">
        <f>IF(G282="","",L282*Settings!$C$6)</f>
        <v/>
      </c>
      <c r="Q282" s="3">
        <f>IF(G282="","",IF(AND(F282="SELL",E282="Equity Delivery"),Settings!$C$13,0))</f>
        <v/>
      </c>
      <c r="R282" s="3">
        <f>IF(G282="","",SUM(L282:Q282))</f>
        <v/>
      </c>
      <c r="S282" s="3">
        <f>IF(G282="","",IF(F282="BUY",-(K282+R282),K282-R282))</f>
        <v/>
      </c>
    </row>
    <row r="283">
      <c r="A283">
        <f>IF(G283="","",ROW()-1)</f>
        <v/>
      </c>
      <c r="B283" s="6" t="n"/>
      <c r="G283" s="3" t="n"/>
      <c r="H283" s="3" t="n"/>
      <c r="K283" s="3">
        <f>IF(G283="","",G283*H283)</f>
        <v/>
      </c>
      <c r="L283" s="3">
        <f>IF(G283="","",Settings!$C$5)</f>
        <v/>
      </c>
      <c r="M283" s="3">
        <f>IF(G283="","",IF(F283="SELL",K283*IF(E283="Equity Intraday",Settings!$C$8,Settings!$C$7),0))</f>
        <v/>
      </c>
      <c r="N283" s="3">
        <f>IF(G283="","",K283*(Settings!$C$9+Settings!$C$10))</f>
        <v/>
      </c>
      <c r="O283" s="3">
        <f>IF(G283="","",IF(F283="BUY",K283*Settings!$C$11,0))</f>
        <v/>
      </c>
      <c r="P283" s="3">
        <f>IF(G283="","",L283*Settings!$C$6)</f>
        <v/>
      </c>
      <c r="Q283" s="3">
        <f>IF(G283="","",IF(AND(F283="SELL",E283="Equity Delivery"),Settings!$C$13,0))</f>
        <v/>
      </c>
      <c r="R283" s="3">
        <f>IF(G283="","",SUM(L283:Q283))</f>
        <v/>
      </c>
      <c r="S283" s="3">
        <f>IF(G283="","",IF(F283="BUY",-(K283+R283),K283-R283))</f>
        <v/>
      </c>
    </row>
    <row r="284">
      <c r="A284">
        <f>IF(G284="","",ROW()-1)</f>
        <v/>
      </c>
      <c r="B284" s="6" t="n"/>
      <c r="G284" s="3" t="n"/>
      <c r="H284" s="3" t="n"/>
      <c r="K284" s="3">
        <f>IF(G284="","",G284*H284)</f>
        <v/>
      </c>
      <c r="L284" s="3">
        <f>IF(G284="","",Settings!$C$5)</f>
        <v/>
      </c>
      <c r="M284" s="3">
        <f>IF(G284="","",IF(F284="SELL",K284*IF(E284="Equity Intraday",Settings!$C$8,Settings!$C$7),0))</f>
        <v/>
      </c>
      <c r="N284" s="3">
        <f>IF(G284="","",K284*(Settings!$C$9+Settings!$C$10))</f>
        <v/>
      </c>
      <c r="O284" s="3">
        <f>IF(G284="","",IF(F284="BUY",K284*Settings!$C$11,0))</f>
        <v/>
      </c>
      <c r="P284" s="3">
        <f>IF(G284="","",L284*Settings!$C$6)</f>
        <v/>
      </c>
      <c r="Q284" s="3">
        <f>IF(G284="","",IF(AND(F284="SELL",E284="Equity Delivery"),Settings!$C$13,0))</f>
        <v/>
      </c>
      <c r="R284" s="3">
        <f>IF(G284="","",SUM(L284:Q284))</f>
        <v/>
      </c>
      <c r="S284" s="3">
        <f>IF(G284="","",IF(F284="BUY",-(K284+R284),K284-R284))</f>
        <v/>
      </c>
    </row>
    <row r="285">
      <c r="A285">
        <f>IF(G285="","",ROW()-1)</f>
        <v/>
      </c>
      <c r="B285" s="6" t="n"/>
      <c r="G285" s="3" t="n"/>
      <c r="H285" s="3" t="n"/>
      <c r="K285" s="3">
        <f>IF(G285="","",G285*H285)</f>
        <v/>
      </c>
      <c r="L285" s="3">
        <f>IF(G285="","",Settings!$C$5)</f>
        <v/>
      </c>
      <c r="M285" s="3">
        <f>IF(G285="","",IF(F285="SELL",K285*IF(E285="Equity Intraday",Settings!$C$8,Settings!$C$7),0))</f>
        <v/>
      </c>
      <c r="N285" s="3">
        <f>IF(G285="","",K285*(Settings!$C$9+Settings!$C$10))</f>
        <v/>
      </c>
      <c r="O285" s="3">
        <f>IF(G285="","",IF(F285="BUY",K285*Settings!$C$11,0))</f>
        <v/>
      </c>
      <c r="P285" s="3">
        <f>IF(G285="","",L285*Settings!$C$6)</f>
        <v/>
      </c>
      <c r="Q285" s="3">
        <f>IF(G285="","",IF(AND(F285="SELL",E285="Equity Delivery"),Settings!$C$13,0))</f>
        <v/>
      </c>
      <c r="R285" s="3">
        <f>IF(G285="","",SUM(L285:Q285))</f>
        <v/>
      </c>
      <c r="S285" s="3">
        <f>IF(G285="","",IF(F285="BUY",-(K285+R285),K285-R285))</f>
        <v/>
      </c>
    </row>
    <row r="286">
      <c r="A286">
        <f>IF(G286="","",ROW()-1)</f>
        <v/>
      </c>
      <c r="B286" s="6" t="n"/>
      <c r="G286" s="3" t="n"/>
      <c r="H286" s="3" t="n"/>
      <c r="K286" s="3">
        <f>IF(G286="","",G286*H286)</f>
        <v/>
      </c>
      <c r="L286" s="3">
        <f>IF(G286="","",Settings!$C$5)</f>
        <v/>
      </c>
      <c r="M286" s="3">
        <f>IF(G286="","",IF(F286="SELL",K286*IF(E286="Equity Intraday",Settings!$C$8,Settings!$C$7),0))</f>
        <v/>
      </c>
      <c r="N286" s="3">
        <f>IF(G286="","",K286*(Settings!$C$9+Settings!$C$10))</f>
        <v/>
      </c>
      <c r="O286" s="3">
        <f>IF(G286="","",IF(F286="BUY",K286*Settings!$C$11,0))</f>
        <v/>
      </c>
      <c r="P286" s="3">
        <f>IF(G286="","",L286*Settings!$C$6)</f>
        <v/>
      </c>
      <c r="Q286" s="3">
        <f>IF(G286="","",IF(AND(F286="SELL",E286="Equity Delivery"),Settings!$C$13,0))</f>
        <v/>
      </c>
      <c r="R286" s="3">
        <f>IF(G286="","",SUM(L286:Q286))</f>
        <v/>
      </c>
      <c r="S286" s="3">
        <f>IF(G286="","",IF(F286="BUY",-(K286+R286),K286-R286))</f>
        <v/>
      </c>
    </row>
    <row r="287">
      <c r="A287">
        <f>IF(G287="","",ROW()-1)</f>
        <v/>
      </c>
      <c r="B287" s="6" t="n"/>
      <c r="G287" s="3" t="n"/>
      <c r="H287" s="3" t="n"/>
      <c r="K287" s="3">
        <f>IF(G287="","",G287*H287)</f>
        <v/>
      </c>
      <c r="L287" s="3">
        <f>IF(G287="","",Settings!$C$5)</f>
        <v/>
      </c>
      <c r="M287" s="3">
        <f>IF(G287="","",IF(F287="SELL",K287*IF(E287="Equity Intraday",Settings!$C$8,Settings!$C$7),0))</f>
        <v/>
      </c>
      <c r="N287" s="3">
        <f>IF(G287="","",K287*(Settings!$C$9+Settings!$C$10))</f>
        <v/>
      </c>
      <c r="O287" s="3">
        <f>IF(G287="","",IF(F287="BUY",K287*Settings!$C$11,0))</f>
        <v/>
      </c>
      <c r="P287" s="3">
        <f>IF(G287="","",L287*Settings!$C$6)</f>
        <v/>
      </c>
      <c r="Q287" s="3">
        <f>IF(G287="","",IF(AND(F287="SELL",E287="Equity Delivery"),Settings!$C$13,0))</f>
        <v/>
      </c>
      <c r="R287" s="3">
        <f>IF(G287="","",SUM(L287:Q287))</f>
        <v/>
      </c>
      <c r="S287" s="3">
        <f>IF(G287="","",IF(F287="BUY",-(K287+R287),K287-R287))</f>
        <v/>
      </c>
    </row>
    <row r="288">
      <c r="A288">
        <f>IF(G288="","",ROW()-1)</f>
        <v/>
      </c>
      <c r="B288" s="6" t="n"/>
      <c r="G288" s="3" t="n"/>
      <c r="H288" s="3" t="n"/>
      <c r="K288" s="3">
        <f>IF(G288="","",G288*H288)</f>
        <v/>
      </c>
      <c r="L288" s="3">
        <f>IF(G288="","",Settings!$C$5)</f>
        <v/>
      </c>
      <c r="M288" s="3">
        <f>IF(G288="","",IF(F288="SELL",K288*IF(E288="Equity Intraday",Settings!$C$8,Settings!$C$7),0))</f>
        <v/>
      </c>
      <c r="N288" s="3">
        <f>IF(G288="","",K288*(Settings!$C$9+Settings!$C$10))</f>
        <v/>
      </c>
      <c r="O288" s="3">
        <f>IF(G288="","",IF(F288="BUY",K288*Settings!$C$11,0))</f>
        <v/>
      </c>
      <c r="P288" s="3">
        <f>IF(G288="","",L288*Settings!$C$6)</f>
        <v/>
      </c>
      <c r="Q288" s="3">
        <f>IF(G288="","",IF(AND(F288="SELL",E288="Equity Delivery"),Settings!$C$13,0))</f>
        <v/>
      </c>
      <c r="R288" s="3">
        <f>IF(G288="","",SUM(L288:Q288))</f>
        <v/>
      </c>
      <c r="S288" s="3">
        <f>IF(G288="","",IF(F288="BUY",-(K288+R288),K288-R288))</f>
        <v/>
      </c>
    </row>
    <row r="289">
      <c r="A289">
        <f>IF(G289="","",ROW()-1)</f>
        <v/>
      </c>
      <c r="B289" s="6" t="n"/>
      <c r="G289" s="3" t="n"/>
      <c r="H289" s="3" t="n"/>
      <c r="K289" s="3">
        <f>IF(G289="","",G289*H289)</f>
        <v/>
      </c>
      <c r="L289" s="3">
        <f>IF(G289="","",Settings!$C$5)</f>
        <v/>
      </c>
      <c r="M289" s="3">
        <f>IF(G289="","",IF(F289="SELL",K289*IF(E289="Equity Intraday",Settings!$C$8,Settings!$C$7),0))</f>
        <v/>
      </c>
      <c r="N289" s="3">
        <f>IF(G289="","",K289*(Settings!$C$9+Settings!$C$10))</f>
        <v/>
      </c>
      <c r="O289" s="3">
        <f>IF(G289="","",IF(F289="BUY",K289*Settings!$C$11,0))</f>
        <v/>
      </c>
      <c r="P289" s="3">
        <f>IF(G289="","",L289*Settings!$C$6)</f>
        <v/>
      </c>
      <c r="Q289" s="3">
        <f>IF(G289="","",IF(AND(F289="SELL",E289="Equity Delivery"),Settings!$C$13,0))</f>
        <v/>
      </c>
      <c r="R289" s="3">
        <f>IF(G289="","",SUM(L289:Q289))</f>
        <v/>
      </c>
      <c r="S289" s="3">
        <f>IF(G289="","",IF(F289="BUY",-(K289+R289),K289-R289))</f>
        <v/>
      </c>
    </row>
    <row r="290">
      <c r="A290">
        <f>IF(G290="","",ROW()-1)</f>
        <v/>
      </c>
      <c r="B290" s="6" t="n"/>
      <c r="G290" s="3" t="n"/>
      <c r="H290" s="3" t="n"/>
      <c r="K290" s="3">
        <f>IF(G290="","",G290*H290)</f>
        <v/>
      </c>
      <c r="L290" s="3">
        <f>IF(G290="","",Settings!$C$5)</f>
        <v/>
      </c>
      <c r="M290" s="3">
        <f>IF(G290="","",IF(F290="SELL",K290*IF(E290="Equity Intraday",Settings!$C$8,Settings!$C$7),0))</f>
        <v/>
      </c>
      <c r="N290" s="3">
        <f>IF(G290="","",K290*(Settings!$C$9+Settings!$C$10))</f>
        <v/>
      </c>
      <c r="O290" s="3">
        <f>IF(G290="","",IF(F290="BUY",K290*Settings!$C$11,0))</f>
        <v/>
      </c>
      <c r="P290" s="3">
        <f>IF(G290="","",L290*Settings!$C$6)</f>
        <v/>
      </c>
      <c r="Q290" s="3">
        <f>IF(G290="","",IF(AND(F290="SELL",E290="Equity Delivery"),Settings!$C$13,0))</f>
        <v/>
      </c>
      <c r="R290" s="3">
        <f>IF(G290="","",SUM(L290:Q290))</f>
        <v/>
      </c>
      <c r="S290" s="3">
        <f>IF(G290="","",IF(F290="BUY",-(K290+R290),K290-R290))</f>
        <v/>
      </c>
    </row>
    <row r="291">
      <c r="A291">
        <f>IF(G291="","",ROW()-1)</f>
        <v/>
      </c>
      <c r="B291" s="6" t="n"/>
      <c r="G291" s="3" t="n"/>
      <c r="H291" s="3" t="n"/>
      <c r="K291" s="3">
        <f>IF(G291="","",G291*H291)</f>
        <v/>
      </c>
      <c r="L291" s="3">
        <f>IF(G291="","",Settings!$C$5)</f>
        <v/>
      </c>
      <c r="M291" s="3">
        <f>IF(G291="","",IF(F291="SELL",K291*IF(E291="Equity Intraday",Settings!$C$8,Settings!$C$7),0))</f>
        <v/>
      </c>
      <c r="N291" s="3">
        <f>IF(G291="","",K291*(Settings!$C$9+Settings!$C$10))</f>
        <v/>
      </c>
      <c r="O291" s="3">
        <f>IF(G291="","",IF(F291="BUY",K291*Settings!$C$11,0))</f>
        <v/>
      </c>
      <c r="P291" s="3">
        <f>IF(G291="","",L291*Settings!$C$6)</f>
        <v/>
      </c>
      <c r="Q291" s="3">
        <f>IF(G291="","",IF(AND(F291="SELL",E291="Equity Delivery"),Settings!$C$13,0))</f>
        <v/>
      </c>
      <c r="R291" s="3">
        <f>IF(G291="","",SUM(L291:Q291))</f>
        <v/>
      </c>
      <c r="S291" s="3">
        <f>IF(G291="","",IF(F291="BUY",-(K291+R291),K291-R291))</f>
        <v/>
      </c>
    </row>
    <row r="292">
      <c r="A292">
        <f>IF(G292="","",ROW()-1)</f>
        <v/>
      </c>
      <c r="B292" s="6" t="n"/>
      <c r="G292" s="3" t="n"/>
      <c r="H292" s="3" t="n"/>
      <c r="K292" s="3">
        <f>IF(G292="","",G292*H292)</f>
        <v/>
      </c>
      <c r="L292" s="3">
        <f>IF(G292="","",Settings!$C$5)</f>
        <v/>
      </c>
      <c r="M292" s="3">
        <f>IF(G292="","",IF(F292="SELL",K292*IF(E292="Equity Intraday",Settings!$C$8,Settings!$C$7),0))</f>
        <v/>
      </c>
      <c r="N292" s="3">
        <f>IF(G292="","",K292*(Settings!$C$9+Settings!$C$10))</f>
        <v/>
      </c>
      <c r="O292" s="3">
        <f>IF(G292="","",IF(F292="BUY",K292*Settings!$C$11,0))</f>
        <v/>
      </c>
      <c r="P292" s="3">
        <f>IF(G292="","",L292*Settings!$C$6)</f>
        <v/>
      </c>
      <c r="Q292" s="3">
        <f>IF(G292="","",IF(AND(F292="SELL",E292="Equity Delivery"),Settings!$C$13,0))</f>
        <v/>
      </c>
      <c r="R292" s="3">
        <f>IF(G292="","",SUM(L292:Q292))</f>
        <v/>
      </c>
      <c r="S292" s="3">
        <f>IF(G292="","",IF(F292="BUY",-(K292+R292),K292-R292))</f>
        <v/>
      </c>
    </row>
    <row r="293">
      <c r="A293">
        <f>IF(G293="","",ROW()-1)</f>
        <v/>
      </c>
      <c r="B293" s="6" t="n"/>
      <c r="G293" s="3" t="n"/>
      <c r="H293" s="3" t="n"/>
      <c r="K293" s="3">
        <f>IF(G293="","",G293*H293)</f>
        <v/>
      </c>
      <c r="L293" s="3">
        <f>IF(G293="","",Settings!$C$5)</f>
        <v/>
      </c>
      <c r="M293" s="3">
        <f>IF(G293="","",IF(F293="SELL",K293*IF(E293="Equity Intraday",Settings!$C$8,Settings!$C$7),0))</f>
        <v/>
      </c>
      <c r="N293" s="3">
        <f>IF(G293="","",K293*(Settings!$C$9+Settings!$C$10))</f>
        <v/>
      </c>
      <c r="O293" s="3">
        <f>IF(G293="","",IF(F293="BUY",K293*Settings!$C$11,0))</f>
        <v/>
      </c>
      <c r="P293" s="3">
        <f>IF(G293="","",L293*Settings!$C$6)</f>
        <v/>
      </c>
      <c r="Q293" s="3">
        <f>IF(G293="","",IF(AND(F293="SELL",E293="Equity Delivery"),Settings!$C$13,0))</f>
        <v/>
      </c>
      <c r="R293" s="3">
        <f>IF(G293="","",SUM(L293:Q293))</f>
        <v/>
      </c>
      <c r="S293" s="3">
        <f>IF(G293="","",IF(F293="BUY",-(K293+R293),K293-R293))</f>
        <v/>
      </c>
    </row>
    <row r="294">
      <c r="A294">
        <f>IF(G294="","",ROW()-1)</f>
        <v/>
      </c>
      <c r="B294" s="6" t="n"/>
      <c r="G294" s="3" t="n"/>
      <c r="H294" s="3" t="n"/>
      <c r="K294" s="3">
        <f>IF(G294="","",G294*H294)</f>
        <v/>
      </c>
      <c r="L294" s="3">
        <f>IF(G294="","",Settings!$C$5)</f>
        <v/>
      </c>
      <c r="M294" s="3">
        <f>IF(G294="","",IF(F294="SELL",K294*IF(E294="Equity Intraday",Settings!$C$8,Settings!$C$7),0))</f>
        <v/>
      </c>
      <c r="N294" s="3">
        <f>IF(G294="","",K294*(Settings!$C$9+Settings!$C$10))</f>
        <v/>
      </c>
      <c r="O294" s="3">
        <f>IF(G294="","",IF(F294="BUY",K294*Settings!$C$11,0))</f>
        <v/>
      </c>
      <c r="P294" s="3">
        <f>IF(G294="","",L294*Settings!$C$6)</f>
        <v/>
      </c>
      <c r="Q294" s="3">
        <f>IF(G294="","",IF(AND(F294="SELL",E294="Equity Delivery"),Settings!$C$13,0))</f>
        <v/>
      </c>
      <c r="R294" s="3">
        <f>IF(G294="","",SUM(L294:Q294))</f>
        <v/>
      </c>
      <c r="S294" s="3">
        <f>IF(G294="","",IF(F294="BUY",-(K294+R294),K294-R294))</f>
        <v/>
      </c>
    </row>
    <row r="295">
      <c r="A295">
        <f>IF(G295="","",ROW()-1)</f>
        <v/>
      </c>
      <c r="B295" s="6" t="n"/>
      <c r="G295" s="3" t="n"/>
      <c r="H295" s="3" t="n"/>
      <c r="K295" s="3">
        <f>IF(G295="","",G295*H295)</f>
        <v/>
      </c>
      <c r="L295" s="3">
        <f>IF(G295="","",Settings!$C$5)</f>
        <v/>
      </c>
      <c r="M295" s="3">
        <f>IF(G295="","",IF(F295="SELL",K295*IF(E295="Equity Intraday",Settings!$C$8,Settings!$C$7),0))</f>
        <v/>
      </c>
      <c r="N295" s="3">
        <f>IF(G295="","",K295*(Settings!$C$9+Settings!$C$10))</f>
        <v/>
      </c>
      <c r="O295" s="3">
        <f>IF(G295="","",IF(F295="BUY",K295*Settings!$C$11,0))</f>
        <v/>
      </c>
      <c r="P295" s="3">
        <f>IF(G295="","",L295*Settings!$C$6)</f>
        <v/>
      </c>
      <c r="Q295" s="3">
        <f>IF(G295="","",IF(AND(F295="SELL",E295="Equity Delivery"),Settings!$C$13,0))</f>
        <v/>
      </c>
      <c r="R295" s="3">
        <f>IF(G295="","",SUM(L295:Q295))</f>
        <v/>
      </c>
      <c r="S295" s="3">
        <f>IF(G295="","",IF(F295="BUY",-(K295+R295),K295-R295))</f>
        <v/>
      </c>
    </row>
    <row r="296">
      <c r="A296">
        <f>IF(G296="","",ROW()-1)</f>
        <v/>
      </c>
      <c r="B296" s="6" t="n"/>
      <c r="G296" s="3" t="n"/>
      <c r="H296" s="3" t="n"/>
      <c r="K296" s="3">
        <f>IF(G296="","",G296*H296)</f>
        <v/>
      </c>
      <c r="L296" s="3">
        <f>IF(G296="","",Settings!$C$5)</f>
        <v/>
      </c>
      <c r="M296" s="3">
        <f>IF(G296="","",IF(F296="SELL",K296*IF(E296="Equity Intraday",Settings!$C$8,Settings!$C$7),0))</f>
        <v/>
      </c>
      <c r="N296" s="3">
        <f>IF(G296="","",K296*(Settings!$C$9+Settings!$C$10))</f>
        <v/>
      </c>
      <c r="O296" s="3">
        <f>IF(G296="","",IF(F296="BUY",K296*Settings!$C$11,0))</f>
        <v/>
      </c>
      <c r="P296" s="3">
        <f>IF(G296="","",L296*Settings!$C$6)</f>
        <v/>
      </c>
      <c r="Q296" s="3">
        <f>IF(G296="","",IF(AND(F296="SELL",E296="Equity Delivery"),Settings!$C$13,0))</f>
        <v/>
      </c>
      <c r="R296" s="3">
        <f>IF(G296="","",SUM(L296:Q296))</f>
        <v/>
      </c>
      <c r="S296" s="3">
        <f>IF(G296="","",IF(F296="BUY",-(K296+R296),K296-R296))</f>
        <v/>
      </c>
    </row>
    <row r="297">
      <c r="A297">
        <f>IF(G297="","",ROW()-1)</f>
        <v/>
      </c>
      <c r="B297" s="6" t="n"/>
      <c r="G297" s="3" t="n"/>
      <c r="H297" s="3" t="n"/>
      <c r="K297" s="3">
        <f>IF(G297="","",G297*H297)</f>
        <v/>
      </c>
      <c r="L297" s="3">
        <f>IF(G297="","",Settings!$C$5)</f>
        <v/>
      </c>
      <c r="M297" s="3">
        <f>IF(G297="","",IF(F297="SELL",K297*IF(E297="Equity Intraday",Settings!$C$8,Settings!$C$7),0))</f>
        <v/>
      </c>
      <c r="N297" s="3">
        <f>IF(G297="","",K297*(Settings!$C$9+Settings!$C$10))</f>
        <v/>
      </c>
      <c r="O297" s="3">
        <f>IF(G297="","",IF(F297="BUY",K297*Settings!$C$11,0))</f>
        <v/>
      </c>
      <c r="P297" s="3">
        <f>IF(G297="","",L297*Settings!$C$6)</f>
        <v/>
      </c>
      <c r="Q297" s="3">
        <f>IF(G297="","",IF(AND(F297="SELL",E297="Equity Delivery"),Settings!$C$13,0))</f>
        <v/>
      </c>
      <c r="R297" s="3">
        <f>IF(G297="","",SUM(L297:Q297))</f>
        <v/>
      </c>
      <c r="S297" s="3">
        <f>IF(G297="","",IF(F297="BUY",-(K297+R297),K297-R297))</f>
        <v/>
      </c>
    </row>
    <row r="298">
      <c r="A298">
        <f>IF(G298="","",ROW()-1)</f>
        <v/>
      </c>
      <c r="B298" s="6" t="n"/>
      <c r="G298" s="3" t="n"/>
      <c r="H298" s="3" t="n"/>
      <c r="K298" s="3">
        <f>IF(G298="","",G298*H298)</f>
        <v/>
      </c>
      <c r="L298" s="3">
        <f>IF(G298="","",Settings!$C$5)</f>
        <v/>
      </c>
      <c r="M298" s="3">
        <f>IF(G298="","",IF(F298="SELL",K298*IF(E298="Equity Intraday",Settings!$C$8,Settings!$C$7),0))</f>
        <v/>
      </c>
      <c r="N298" s="3">
        <f>IF(G298="","",K298*(Settings!$C$9+Settings!$C$10))</f>
        <v/>
      </c>
      <c r="O298" s="3">
        <f>IF(G298="","",IF(F298="BUY",K298*Settings!$C$11,0))</f>
        <v/>
      </c>
      <c r="P298" s="3">
        <f>IF(G298="","",L298*Settings!$C$6)</f>
        <v/>
      </c>
      <c r="Q298" s="3">
        <f>IF(G298="","",IF(AND(F298="SELL",E298="Equity Delivery"),Settings!$C$13,0))</f>
        <v/>
      </c>
      <c r="R298" s="3">
        <f>IF(G298="","",SUM(L298:Q298))</f>
        <v/>
      </c>
      <c r="S298" s="3">
        <f>IF(G298="","",IF(F298="BUY",-(K298+R298),K298-R298))</f>
        <v/>
      </c>
    </row>
    <row r="299">
      <c r="A299">
        <f>IF(G299="","",ROW()-1)</f>
        <v/>
      </c>
      <c r="B299" s="6" t="n"/>
      <c r="G299" s="3" t="n"/>
      <c r="H299" s="3" t="n"/>
      <c r="K299" s="3">
        <f>IF(G299="","",G299*H299)</f>
        <v/>
      </c>
      <c r="L299" s="3">
        <f>IF(G299="","",Settings!$C$5)</f>
        <v/>
      </c>
      <c r="M299" s="3">
        <f>IF(G299="","",IF(F299="SELL",K299*IF(E299="Equity Intraday",Settings!$C$8,Settings!$C$7),0))</f>
        <v/>
      </c>
      <c r="N299" s="3">
        <f>IF(G299="","",K299*(Settings!$C$9+Settings!$C$10))</f>
        <v/>
      </c>
      <c r="O299" s="3">
        <f>IF(G299="","",IF(F299="BUY",K299*Settings!$C$11,0))</f>
        <v/>
      </c>
      <c r="P299" s="3">
        <f>IF(G299="","",L299*Settings!$C$6)</f>
        <v/>
      </c>
      <c r="Q299" s="3">
        <f>IF(G299="","",IF(AND(F299="SELL",E299="Equity Delivery"),Settings!$C$13,0))</f>
        <v/>
      </c>
      <c r="R299" s="3">
        <f>IF(G299="","",SUM(L299:Q299))</f>
        <v/>
      </c>
      <c r="S299" s="3">
        <f>IF(G299="","",IF(F299="BUY",-(K299+R299),K299-R299))</f>
        <v/>
      </c>
    </row>
    <row r="300">
      <c r="A300">
        <f>IF(G300="","",ROW()-1)</f>
        <v/>
      </c>
      <c r="B300" s="6" t="n"/>
      <c r="G300" s="3" t="n"/>
      <c r="H300" s="3" t="n"/>
      <c r="K300" s="3">
        <f>IF(G300="","",G300*H300)</f>
        <v/>
      </c>
      <c r="L300" s="3">
        <f>IF(G300="","",Settings!$C$5)</f>
        <v/>
      </c>
      <c r="M300" s="3">
        <f>IF(G300="","",IF(F300="SELL",K300*IF(E300="Equity Intraday",Settings!$C$8,Settings!$C$7),0))</f>
        <v/>
      </c>
      <c r="N300" s="3">
        <f>IF(G300="","",K300*(Settings!$C$9+Settings!$C$10))</f>
        <v/>
      </c>
      <c r="O300" s="3">
        <f>IF(G300="","",IF(F300="BUY",K300*Settings!$C$11,0))</f>
        <v/>
      </c>
      <c r="P300" s="3">
        <f>IF(G300="","",L300*Settings!$C$6)</f>
        <v/>
      </c>
      <c r="Q300" s="3">
        <f>IF(G300="","",IF(AND(F300="SELL",E300="Equity Delivery"),Settings!$C$13,0))</f>
        <v/>
      </c>
      <c r="R300" s="3">
        <f>IF(G300="","",SUM(L300:Q300))</f>
        <v/>
      </c>
      <c r="S300" s="3">
        <f>IF(G300="","",IF(F300="BUY",-(K300+R300),K300-R300))</f>
        <v/>
      </c>
    </row>
    <row r="301">
      <c r="A301">
        <f>IF(G301="","",ROW()-1)</f>
        <v/>
      </c>
      <c r="B301" s="6" t="n"/>
      <c r="G301" s="3" t="n"/>
      <c r="H301" s="3" t="n"/>
      <c r="K301" s="3">
        <f>IF(G301="","",G301*H301)</f>
        <v/>
      </c>
      <c r="L301" s="3">
        <f>IF(G301="","",Settings!$C$5)</f>
        <v/>
      </c>
      <c r="M301" s="3">
        <f>IF(G301="","",IF(F301="SELL",K301*IF(E301="Equity Intraday",Settings!$C$8,Settings!$C$7),0))</f>
        <v/>
      </c>
      <c r="N301" s="3">
        <f>IF(G301="","",K301*(Settings!$C$9+Settings!$C$10))</f>
        <v/>
      </c>
      <c r="O301" s="3">
        <f>IF(G301="","",IF(F301="BUY",K301*Settings!$C$11,0))</f>
        <v/>
      </c>
      <c r="P301" s="3">
        <f>IF(G301="","",L301*Settings!$C$6)</f>
        <v/>
      </c>
      <c r="Q301" s="3">
        <f>IF(G301="","",IF(AND(F301="SELL",E301="Equity Delivery"),Settings!$C$13,0))</f>
        <v/>
      </c>
      <c r="R301" s="3">
        <f>IF(G301="","",SUM(L301:Q301))</f>
        <v/>
      </c>
      <c r="S301" s="3">
        <f>IF(G301="","",IF(F301="BUY",-(K301+R301),K301-R301))</f>
        <v/>
      </c>
    </row>
    <row r="302">
      <c r="A302">
        <f>IF(G302="","",ROW()-1)</f>
        <v/>
      </c>
      <c r="B302" s="6" t="n"/>
      <c r="G302" s="3" t="n"/>
      <c r="H302" s="3" t="n"/>
      <c r="K302" s="3">
        <f>IF(G302="","",G302*H302)</f>
        <v/>
      </c>
      <c r="L302" s="3">
        <f>IF(G302="","",Settings!$C$5)</f>
        <v/>
      </c>
      <c r="M302" s="3">
        <f>IF(G302="","",IF(F302="SELL",K302*IF(E302="Equity Intraday",Settings!$C$8,Settings!$C$7),0))</f>
        <v/>
      </c>
      <c r="N302" s="3">
        <f>IF(G302="","",K302*(Settings!$C$9+Settings!$C$10))</f>
        <v/>
      </c>
      <c r="O302" s="3">
        <f>IF(G302="","",IF(F302="BUY",K302*Settings!$C$11,0))</f>
        <v/>
      </c>
      <c r="P302" s="3">
        <f>IF(G302="","",L302*Settings!$C$6)</f>
        <v/>
      </c>
      <c r="Q302" s="3">
        <f>IF(G302="","",IF(AND(F302="SELL",E302="Equity Delivery"),Settings!$C$13,0))</f>
        <v/>
      </c>
      <c r="R302" s="3">
        <f>IF(G302="","",SUM(L302:Q302))</f>
        <v/>
      </c>
      <c r="S302" s="3">
        <f>IF(G302="","",IF(F302="BUY",-(K302+R302),K302-R302))</f>
        <v/>
      </c>
    </row>
    <row r="303">
      <c r="A303">
        <f>IF(G303="","",ROW()-1)</f>
        <v/>
      </c>
      <c r="B303" s="6" t="n"/>
      <c r="G303" s="3" t="n"/>
      <c r="H303" s="3" t="n"/>
      <c r="K303" s="3">
        <f>IF(G303="","",G303*H303)</f>
        <v/>
      </c>
      <c r="L303" s="3">
        <f>IF(G303="","",Settings!$C$5)</f>
        <v/>
      </c>
      <c r="M303" s="3">
        <f>IF(G303="","",IF(F303="SELL",K303*IF(E303="Equity Intraday",Settings!$C$8,Settings!$C$7),0))</f>
        <v/>
      </c>
      <c r="N303" s="3">
        <f>IF(G303="","",K303*(Settings!$C$9+Settings!$C$10))</f>
        <v/>
      </c>
      <c r="O303" s="3">
        <f>IF(G303="","",IF(F303="BUY",K303*Settings!$C$11,0))</f>
        <v/>
      </c>
      <c r="P303" s="3">
        <f>IF(G303="","",L303*Settings!$C$6)</f>
        <v/>
      </c>
      <c r="Q303" s="3">
        <f>IF(G303="","",IF(AND(F303="SELL",E303="Equity Delivery"),Settings!$C$13,0))</f>
        <v/>
      </c>
      <c r="R303" s="3">
        <f>IF(G303="","",SUM(L303:Q303))</f>
        <v/>
      </c>
      <c r="S303" s="3">
        <f>IF(G303="","",IF(F303="BUY",-(K303+R303),K303-R303))</f>
        <v/>
      </c>
    </row>
    <row r="304">
      <c r="A304">
        <f>IF(G304="","",ROW()-1)</f>
        <v/>
      </c>
      <c r="B304" s="6" t="n"/>
      <c r="G304" s="3" t="n"/>
      <c r="H304" s="3" t="n"/>
      <c r="K304" s="3">
        <f>IF(G304="","",G304*H304)</f>
        <v/>
      </c>
      <c r="L304" s="3">
        <f>IF(G304="","",Settings!$C$5)</f>
        <v/>
      </c>
      <c r="M304" s="3">
        <f>IF(G304="","",IF(F304="SELL",K304*IF(E304="Equity Intraday",Settings!$C$8,Settings!$C$7),0))</f>
        <v/>
      </c>
      <c r="N304" s="3">
        <f>IF(G304="","",K304*(Settings!$C$9+Settings!$C$10))</f>
        <v/>
      </c>
      <c r="O304" s="3">
        <f>IF(G304="","",IF(F304="BUY",K304*Settings!$C$11,0))</f>
        <v/>
      </c>
      <c r="P304" s="3">
        <f>IF(G304="","",L304*Settings!$C$6)</f>
        <v/>
      </c>
      <c r="Q304" s="3">
        <f>IF(G304="","",IF(AND(F304="SELL",E304="Equity Delivery"),Settings!$C$13,0))</f>
        <v/>
      </c>
      <c r="R304" s="3">
        <f>IF(G304="","",SUM(L304:Q304))</f>
        <v/>
      </c>
      <c r="S304" s="3">
        <f>IF(G304="","",IF(F304="BUY",-(K304+R304),K304-R304))</f>
        <v/>
      </c>
    </row>
    <row r="305">
      <c r="A305">
        <f>IF(G305="","",ROW()-1)</f>
        <v/>
      </c>
      <c r="B305" s="6" t="n"/>
      <c r="G305" s="3" t="n"/>
      <c r="H305" s="3" t="n"/>
      <c r="K305" s="3">
        <f>IF(G305="","",G305*H305)</f>
        <v/>
      </c>
      <c r="L305" s="3">
        <f>IF(G305="","",Settings!$C$5)</f>
        <v/>
      </c>
      <c r="M305" s="3">
        <f>IF(G305="","",IF(F305="SELL",K305*IF(E305="Equity Intraday",Settings!$C$8,Settings!$C$7),0))</f>
        <v/>
      </c>
      <c r="N305" s="3">
        <f>IF(G305="","",K305*(Settings!$C$9+Settings!$C$10))</f>
        <v/>
      </c>
      <c r="O305" s="3">
        <f>IF(G305="","",IF(F305="BUY",K305*Settings!$C$11,0))</f>
        <v/>
      </c>
      <c r="P305" s="3">
        <f>IF(G305="","",L305*Settings!$C$6)</f>
        <v/>
      </c>
      <c r="Q305" s="3">
        <f>IF(G305="","",IF(AND(F305="SELL",E305="Equity Delivery"),Settings!$C$13,0))</f>
        <v/>
      </c>
      <c r="R305" s="3">
        <f>IF(G305="","",SUM(L305:Q305))</f>
        <v/>
      </c>
      <c r="S305" s="3">
        <f>IF(G305="","",IF(F305="BUY",-(K305+R305),K305-R305))</f>
        <v/>
      </c>
    </row>
    <row r="306">
      <c r="A306">
        <f>IF(G306="","",ROW()-1)</f>
        <v/>
      </c>
      <c r="B306" s="6" t="n"/>
      <c r="G306" s="3" t="n"/>
      <c r="H306" s="3" t="n"/>
      <c r="K306" s="3">
        <f>IF(G306="","",G306*H306)</f>
        <v/>
      </c>
      <c r="L306" s="3">
        <f>IF(G306="","",Settings!$C$5)</f>
        <v/>
      </c>
      <c r="M306" s="3">
        <f>IF(G306="","",IF(F306="SELL",K306*IF(E306="Equity Intraday",Settings!$C$8,Settings!$C$7),0))</f>
        <v/>
      </c>
      <c r="N306" s="3">
        <f>IF(G306="","",K306*(Settings!$C$9+Settings!$C$10))</f>
        <v/>
      </c>
      <c r="O306" s="3">
        <f>IF(G306="","",IF(F306="BUY",K306*Settings!$C$11,0))</f>
        <v/>
      </c>
      <c r="P306" s="3">
        <f>IF(G306="","",L306*Settings!$C$6)</f>
        <v/>
      </c>
      <c r="Q306" s="3">
        <f>IF(G306="","",IF(AND(F306="SELL",E306="Equity Delivery"),Settings!$C$13,0))</f>
        <v/>
      </c>
      <c r="R306" s="3">
        <f>IF(G306="","",SUM(L306:Q306))</f>
        <v/>
      </c>
      <c r="S306" s="3">
        <f>IF(G306="","",IF(F306="BUY",-(K306+R306),K306-R306))</f>
        <v/>
      </c>
    </row>
    <row r="307">
      <c r="A307">
        <f>IF(G307="","",ROW()-1)</f>
        <v/>
      </c>
      <c r="B307" s="6" t="n"/>
      <c r="G307" s="3" t="n"/>
      <c r="H307" s="3" t="n"/>
      <c r="K307" s="3">
        <f>IF(G307="","",G307*H307)</f>
        <v/>
      </c>
      <c r="L307" s="3">
        <f>IF(G307="","",Settings!$C$5)</f>
        <v/>
      </c>
      <c r="M307" s="3">
        <f>IF(G307="","",IF(F307="SELL",K307*IF(E307="Equity Intraday",Settings!$C$8,Settings!$C$7),0))</f>
        <v/>
      </c>
      <c r="N307" s="3">
        <f>IF(G307="","",K307*(Settings!$C$9+Settings!$C$10))</f>
        <v/>
      </c>
      <c r="O307" s="3">
        <f>IF(G307="","",IF(F307="BUY",K307*Settings!$C$11,0))</f>
        <v/>
      </c>
      <c r="P307" s="3">
        <f>IF(G307="","",L307*Settings!$C$6)</f>
        <v/>
      </c>
      <c r="Q307" s="3">
        <f>IF(G307="","",IF(AND(F307="SELL",E307="Equity Delivery"),Settings!$C$13,0))</f>
        <v/>
      </c>
      <c r="R307" s="3">
        <f>IF(G307="","",SUM(L307:Q307))</f>
        <v/>
      </c>
      <c r="S307" s="3">
        <f>IF(G307="","",IF(F307="BUY",-(K307+R307),K307-R307))</f>
        <v/>
      </c>
    </row>
    <row r="308">
      <c r="A308">
        <f>IF(G308="","",ROW()-1)</f>
        <v/>
      </c>
      <c r="B308" s="6" t="n"/>
      <c r="G308" s="3" t="n"/>
      <c r="H308" s="3" t="n"/>
      <c r="K308" s="3">
        <f>IF(G308="","",G308*H308)</f>
        <v/>
      </c>
      <c r="L308" s="3">
        <f>IF(G308="","",Settings!$C$5)</f>
        <v/>
      </c>
      <c r="M308" s="3">
        <f>IF(G308="","",IF(F308="SELL",K308*IF(E308="Equity Intraday",Settings!$C$8,Settings!$C$7),0))</f>
        <v/>
      </c>
      <c r="N308" s="3">
        <f>IF(G308="","",K308*(Settings!$C$9+Settings!$C$10))</f>
        <v/>
      </c>
      <c r="O308" s="3">
        <f>IF(G308="","",IF(F308="BUY",K308*Settings!$C$11,0))</f>
        <v/>
      </c>
      <c r="P308" s="3">
        <f>IF(G308="","",L308*Settings!$C$6)</f>
        <v/>
      </c>
      <c r="Q308" s="3">
        <f>IF(G308="","",IF(AND(F308="SELL",E308="Equity Delivery"),Settings!$C$13,0))</f>
        <v/>
      </c>
      <c r="R308" s="3">
        <f>IF(G308="","",SUM(L308:Q308))</f>
        <v/>
      </c>
      <c r="S308" s="3">
        <f>IF(G308="","",IF(F308="BUY",-(K308+R308),K308-R308))</f>
        <v/>
      </c>
    </row>
    <row r="309">
      <c r="A309">
        <f>IF(G309="","",ROW()-1)</f>
        <v/>
      </c>
      <c r="B309" s="6" t="n"/>
      <c r="G309" s="3" t="n"/>
      <c r="H309" s="3" t="n"/>
      <c r="K309" s="3">
        <f>IF(G309="","",G309*H309)</f>
        <v/>
      </c>
      <c r="L309" s="3">
        <f>IF(G309="","",Settings!$C$5)</f>
        <v/>
      </c>
      <c r="M309" s="3">
        <f>IF(G309="","",IF(F309="SELL",K309*IF(E309="Equity Intraday",Settings!$C$8,Settings!$C$7),0))</f>
        <v/>
      </c>
      <c r="N309" s="3">
        <f>IF(G309="","",K309*(Settings!$C$9+Settings!$C$10))</f>
        <v/>
      </c>
      <c r="O309" s="3">
        <f>IF(G309="","",IF(F309="BUY",K309*Settings!$C$11,0))</f>
        <v/>
      </c>
      <c r="P309" s="3">
        <f>IF(G309="","",L309*Settings!$C$6)</f>
        <v/>
      </c>
      <c r="Q309" s="3">
        <f>IF(G309="","",IF(AND(F309="SELL",E309="Equity Delivery"),Settings!$C$13,0))</f>
        <v/>
      </c>
      <c r="R309" s="3">
        <f>IF(G309="","",SUM(L309:Q309))</f>
        <v/>
      </c>
      <c r="S309" s="3">
        <f>IF(G309="","",IF(F309="BUY",-(K309+R309),K309-R309))</f>
        <v/>
      </c>
    </row>
    <row r="310">
      <c r="A310">
        <f>IF(G310="","",ROW()-1)</f>
        <v/>
      </c>
      <c r="B310" s="6" t="n"/>
      <c r="G310" s="3" t="n"/>
      <c r="H310" s="3" t="n"/>
      <c r="K310" s="3">
        <f>IF(G310="","",G310*H310)</f>
        <v/>
      </c>
      <c r="L310" s="3">
        <f>IF(G310="","",Settings!$C$5)</f>
        <v/>
      </c>
      <c r="M310" s="3">
        <f>IF(G310="","",IF(F310="SELL",K310*IF(E310="Equity Intraday",Settings!$C$8,Settings!$C$7),0))</f>
        <v/>
      </c>
      <c r="N310" s="3">
        <f>IF(G310="","",K310*(Settings!$C$9+Settings!$C$10))</f>
        <v/>
      </c>
      <c r="O310" s="3">
        <f>IF(G310="","",IF(F310="BUY",K310*Settings!$C$11,0))</f>
        <v/>
      </c>
      <c r="P310" s="3">
        <f>IF(G310="","",L310*Settings!$C$6)</f>
        <v/>
      </c>
      <c r="Q310" s="3">
        <f>IF(G310="","",IF(AND(F310="SELL",E310="Equity Delivery"),Settings!$C$13,0))</f>
        <v/>
      </c>
      <c r="R310" s="3">
        <f>IF(G310="","",SUM(L310:Q310))</f>
        <v/>
      </c>
      <c r="S310" s="3">
        <f>IF(G310="","",IF(F310="BUY",-(K310+R310),K310-R310))</f>
        <v/>
      </c>
    </row>
    <row r="311">
      <c r="A311">
        <f>IF(G311="","",ROW()-1)</f>
        <v/>
      </c>
      <c r="B311" s="6" t="n"/>
      <c r="G311" s="3" t="n"/>
      <c r="H311" s="3" t="n"/>
      <c r="K311" s="3">
        <f>IF(G311="","",G311*H311)</f>
        <v/>
      </c>
      <c r="L311" s="3">
        <f>IF(G311="","",Settings!$C$5)</f>
        <v/>
      </c>
      <c r="M311" s="3">
        <f>IF(G311="","",IF(F311="SELL",K311*IF(E311="Equity Intraday",Settings!$C$8,Settings!$C$7),0))</f>
        <v/>
      </c>
      <c r="N311" s="3">
        <f>IF(G311="","",K311*(Settings!$C$9+Settings!$C$10))</f>
        <v/>
      </c>
      <c r="O311" s="3">
        <f>IF(G311="","",IF(F311="BUY",K311*Settings!$C$11,0))</f>
        <v/>
      </c>
      <c r="P311" s="3">
        <f>IF(G311="","",L311*Settings!$C$6)</f>
        <v/>
      </c>
      <c r="Q311" s="3">
        <f>IF(G311="","",IF(AND(F311="SELL",E311="Equity Delivery"),Settings!$C$13,0))</f>
        <v/>
      </c>
      <c r="R311" s="3">
        <f>IF(G311="","",SUM(L311:Q311))</f>
        <v/>
      </c>
      <c r="S311" s="3">
        <f>IF(G311="","",IF(F311="BUY",-(K311+R311),K311-R311))</f>
        <v/>
      </c>
    </row>
    <row r="312">
      <c r="A312">
        <f>IF(G312="","",ROW()-1)</f>
        <v/>
      </c>
      <c r="B312" s="6" t="n"/>
      <c r="G312" s="3" t="n"/>
      <c r="H312" s="3" t="n"/>
      <c r="K312" s="3">
        <f>IF(G312="","",G312*H312)</f>
        <v/>
      </c>
      <c r="L312" s="3">
        <f>IF(G312="","",Settings!$C$5)</f>
        <v/>
      </c>
      <c r="M312" s="3">
        <f>IF(G312="","",IF(F312="SELL",K312*IF(E312="Equity Intraday",Settings!$C$8,Settings!$C$7),0))</f>
        <v/>
      </c>
      <c r="N312" s="3">
        <f>IF(G312="","",K312*(Settings!$C$9+Settings!$C$10))</f>
        <v/>
      </c>
      <c r="O312" s="3">
        <f>IF(G312="","",IF(F312="BUY",K312*Settings!$C$11,0))</f>
        <v/>
      </c>
      <c r="P312" s="3">
        <f>IF(G312="","",L312*Settings!$C$6)</f>
        <v/>
      </c>
      <c r="Q312" s="3">
        <f>IF(G312="","",IF(AND(F312="SELL",E312="Equity Delivery"),Settings!$C$13,0))</f>
        <v/>
      </c>
      <c r="R312" s="3">
        <f>IF(G312="","",SUM(L312:Q312))</f>
        <v/>
      </c>
      <c r="S312" s="3">
        <f>IF(G312="","",IF(F312="BUY",-(K312+R312),K312-R312))</f>
        <v/>
      </c>
    </row>
    <row r="313">
      <c r="A313">
        <f>IF(G313="","",ROW()-1)</f>
        <v/>
      </c>
      <c r="B313" s="6" t="n"/>
      <c r="G313" s="3" t="n"/>
      <c r="H313" s="3" t="n"/>
      <c r="K313" s="3">
        <f>IF(G313="","",G313*H313)</f>
        <v/>
      </c>
      <c r="L313" s="3">
        <f>IF(G313="","",Settings!$C$5)</f>
        <v/>
      </c>
      <c r="M313" s="3">
        <f>IF(G313="","",IF(F313="SELL",K313*IF(E313="Equity Intraday",Settings!$C$8,Settings!$C$7),0))</f>
        <v/>
      </c>
      <c r="N313" s="3">
        <f>IF(G313="","",K313*(Settings!$C$9+Settings!$C$10))</f>
        <v/>
      </c>
      <c r="O313" s="3">
        <f>IF(G313="","",IF(F313="BUY",K313*Settings!$C$11,0))</f>
        <v/>
      </c>
      <c r="P313" s="3">
        <f>IF(G313="","",L313*Settings!$C$6)</f>
        <v/>
      </c>
      <c r="Q313" s="3">
        <f>IF(G313="","",IF(AND(F313="SELL",E313="Equity Delivery"),Settings!$C$13,0))</f>
        <v/>
      </c>
      <c r="R313" s="3">
        <f>IF(G313="","",SUM(L313:Q313))</f>
        <v/>
      </c>
      <c r="S313" s="3">
        <f>IF(G313="","",IF(F313="BUY",-(K313+R313),K313-R313))</f>
        <v/>
      </c>
    </row>
    <row r="314">
      <c r="A314">
        <f>IF(G314="","",ROW()-1)</f>
        <v/>
      </c>
      <c r="B314" s="6" t="n"/>
      <c r="G314" s="3" t="n"/>
      <c r="H314" s="3" t="n"/>
      <c r="K314" s="3">
        <f>IF(G314="","",G314*H314)</f>
        <v/>
      </c>
      <c r="L314" s="3">
        <f>IF(G314="","",Settings!$C$5)</f>
        <v/>
      </c>
      <c r="M314" s="3">
        <f>IF(G314="","",IF(F314="SELL",K314*IF(E314="Equity Intraday",Settings!$C$8,Settings!$C$7),0))</f>
        <v/>
      </c>
      <c r="N314" s="3">
        <f>IF(G314="","",K314*(Settings!$C$9+Settings!$C$10))</f>
        <v/>
      </c>
      <c r="O314" s="3">
        <f>IF(G314="","",IF(F314="BUY",K314*Settings!$C$11,0))</f>
        <v/>
      </c>
      <c r="P314" s="3">
        <f>IF(G314="","",L314*Settings!$C$6)</f>
        <v/>
      </c>
      <c r="Q314" s="3">
        <f>IF(G314="","",IF(AND(F314="SELL",E314="Equity Delivery"),Settings!$C$13,0))</f>
        <v/>
      </c>
      <c r="R314" s="3">
        <f>IF(G314="","",SUM(L314:Q314))</f>
        <v/>
      </c>
      <c r="S314" s="3">
        <f>IF(G314="","",IF(F314="BUY",-(K314+R314),K314-R314))</f>
        <v/>
      </c>
    </row>
    <row r="315">
      <c r="A315">
        <f>IF(G315="","",ROW()-1)</f>
        <v/>
      </c>
      <c r="B315" s="6" t="n"/>
      <c r="G315" s="3" t="n"/>
      <c r="H315" s="3" t="n"/>
      <c r="K315" s="3">
        <f>IF(G315="","",G315*H315)</f>
        <v/>
      </c>
      <c r="L315" s="3">
        <f>IF(G315="","",Settings!$C$5)</f>
        <v/>
      </c>
      <c r="M315" s="3">
        <f>IF(G315="","",IF(F315="SELL",K315*IF(E315="Equity Intraday",Settings!$C$8,Settings!$C$7),0))</f>
        <v/>
      </c>
      <c r="N315" s="3">
        <f>IF(G315="","",K315*(Settings!$C$9+Settings!$C$10))</f>
        <v/>
      </c>
      <c r="O315" s="3">
        <f>IF(G315="","",IF(F315="BUY",K315*Settings!$C$11,0))</f>
        <v/>
      </c>
      <c r="P315" s="3">
        <f>IF(G315="","",L315*Settings!$C$6)</f>
        <v/>
      </c>
      <c r="Q315" s="3">
        <f>IF(G315="","",IF(AND(F315="SELL",E315="Equity Delivery"),Settings!$C$13,0))</f>
        <v/>
      </c>
      <c r="R315" s="3">
        <f>IF(G315="","",SUM(L315:Q315))</f>
        <v/>
      </c>
      <c r="S315" s="3">
        <f>IF(G315="","",IF(F315="BUY",-(K315+R315),K315-R315))</f>
        <v/>
      </c>
    </row>
    <row r="316">
      <c r="A316">
        <f>IF(G316="","",ROW()-1)</f>
        <v/>
      </c>
      <c r="B316" s="6" t="n"/>
      <c r="G316" s="3" t="n"/>
      <c r="H316" s="3" t="n"/>
      <c r="K316" s="3">
        <f>IF(G316="","",G316*H316)</f>
        <v/>
      </c>
      <c r="L316" s="3">
        <f>IF(G316="","",Settings!$C$5)</f>
        <v/>
      </c>
      <c r="M316" s="3">
        <f>IF(G316="","",IF(F316="SELL",K316*IF(E316="Equity Intraday",Settings!$C$8,Settings!$C$7),0))</f>
        <v/>
      </c>
      <c r="N316" s="3">
        <f>IF(G316="","",K316*(Settings!$C$9+Settings!$C$10))</f>
        <v/>
      </c>
      <c r="O316" s="3">
        <f>IF(G316="","",IF(F316="BUY",K316*Settings!$C$11,0))</f>
        <v/>
      </c>
      <c r="P316" s="3">
        <f>IF(G316="","",L316*Settings!$C$6)</f>
        <v/>
      </c>
      <c r="Q316" s="3">
        <f>IF(G316="","",IF(AND(F316="SELL",E316="Equity Delivery"),Settings!$C$13,0))</f>
        <v/>
      </c>
      <c r="R316" s="3">
        <f>IF(G316="","",SUM(L316:Q316))</f>
        <v/>
      </c>
      <c r="S316" s="3">
        <f>IF(G316="","",IF(F316="BUY",-(K316+R316),K316-R316))</f>
        <v/>
      </c>
    </row>
    <row r="317">
      <c r="A317">
        <f>IF(G317="","",ROW()-1)</f>
        <v/>
      </c>
      <c r="B317" s="6" t="n"/>
      <c r="G317" s="3" t="n"/>
      <c r="H317" s="3" t="n"/>
      <c r="K317" s="3">
        <f>IF(G317="","",G317*H317)</f>
        <v/>
      </c>
      <c r="L317" s="3">
        <f>IF(G317="","",Settings!$C$5)</f>
        <v/>
      </c>
      <c r="M317" s="3">
        <f>IF(G317="","",IF(F317="SELL",K317*IF(E317="Equity Intraday",Settings!$C$8,Settings!$C$7),0))</f>
        <v/>
      </c>
      <c r="N317" s="3">
        <f>IF(G317="","",K317*(Settings!$C$9+Settings!$C$10))</f>
        <v/>
      </c>
      <c r="O317" s="3">
        <f>IF(G317="","",IF(F317="BUY",K317*Settings!$C$11,0))</f>
        <v/>
      </c>
      <c r="P317" s="3">
        <f>IF(G317="","",L317*Settings!$C$6)</f>
        <v/>
      </c>
      <c r="Q317" s="3">
        <f>IF(G317="","",IF(AND(F317="SELL",E317="Equity Delivery"),Settings!$C$13,0))</f>
        <v/>
      </c>
      <c r="R317" s="3">
        <f>IF(G317="","",SUM(L317:Q317))</f>
        <v/>
      </c>
      <c r="S317" s="3">
        <f>IF(G317="","",IF(F317="BUY",-(K317+R317),K317-R317))</f>
        <v/>
      </c>
    </row>
    <row r="318">
      <c r="A318">
        <f>IF(G318="","",ROW()-1)</f>
        <v/>
      </c>
      <c r="B318" s="6" t="n"/>
      <c r="G318" s="3" t="n"/>
      <c r="H318" s="3" t="n"/>
      <c r="K318" s="3">
        <f>IF(G318="","",G318*H318)</f>
        <v/>
      </c>
      <c r="L318" s="3">
        <f>IF(G318="","",Settings!$C$5)</f>
        <v/>
      </c>
      <c r="M318" s="3">
        <f>IF(G318="","",IF(F318="SELL",K318*IF(E318="Equity Intraday",Settings!$C$8,Settings!$C$7),0))</f>
        <v/>
      </c>
      <c r="N318" s="3">
        <f>IF(G318="","",K318*(Settings!$C$9+Settings!$C$10))</f>
        <v/>
      </c>
      <c r="O318" s="3">
        <f>IF(G318="","",IF(F318="BUY",K318*Settings!$C$11,0))</f>
        <v/>
      </c>
      <c r="P318" s="3">
        <f>IF(G318="","",L318*Settings!$C$6)</f>
        <v/>
      </c>
      <c r="Q318" s="3">
        <f>IF(G318="","",IF(AND(F318="SELL",E318="Equity Delivery"),Settings!$C$13,0))</f>
        <v/>
      </c>
      <c r="R318" s="3">
        <f>IF(G318="","",SUM(L318:Q318))</f>
        <v/>
      </c>
      <c r="S318" s="3">
        <f>IF(G318="","",IF(F318="BUY",-(K318+R318),K318-R318))</f>
        <v/>
      </c>
    </row>
    <row r="319">
      <c r="A319">
        <f>IF(G319="","",ROW()-1)</f>
        <v/>
      </c>
      <c r="B319" s="6" t="n"/>
      <c r="G319" s="3" t="n"/>
      <c r="H319" s="3" t="n"/>
      <c r="K319" s="3">
        <f>IF(G319="","",G319*H319)</f>
        <v/>
      </c>
      <c r="L319" s="3">
        <f>IF(G319="","",Settings!$C$5)</f>
        <v/>
      </c>
      <c r="M319" s="3">
        <f>IF(G319="","",IF(F319="SELL",K319*IF(E319="Equity Intraday",Settings!$C$8,Settings!$C$7),0))</f>
        <v/>
      </c>
      <c r="N319" s="3">
        <f>IF(G319="","",K319*(Settings!$C$9+Settings!$C$10))</f>
        <v/>
      </c>
      <c r="O319" s="3">
        <f>IF(G319="","",IF(F319="BUY",K319*Settings!$C$11,0))</f>
        <v/>
      </c>
      <c r="P319" s="3">
        <f>IF(G319="","",L319*Settings!$C$6)</f>
        <v/>
      </c>
      <c r="Q319" s="3">
        <f>IF(G319="","",IF(AND(F319="SELL",E319="Equity Delivery"),Settings!$C$13,0))</f>
        <v/>
      </c>
      <c r="R319" s="3">
        <f>IF(G319="","",SUM(L319:Q319))</f>
        <v/>
      </c>
      <c r="S319" s="3">
        <f>IF(G319="","",IF(F319="BUY",-(K319+R319),K319-R319))</f>
        <v/>
      </c>
    </row>
    <row r="320">
      <c r="A320">
        <f>IF(G320="","",ROW()-1)</f>
        <v/>
      </c>
      <c r="B320" s="6" t="n"/>
      <c r="G320" s="3" t="n"/>
      <c r="H320" s="3" t="n"/>
      <c r="K320" s="3">
        <f>IF(G320="","",G320*H320)</f>
        <v/>
      </c>
      <c r="L320" s="3">
        <f>IF(G320="","",Settings!$C$5)</f>
        <v/>
      </c>
      <c r="M320" s="3">
        <f>IF(G320="","",IF(F320="SELL",K320*IF(E320="Equity Intraday",Settings!$C$8,Settings!$C$7),0))</f>
        <v/>
      </c>
      <c r="N320" s="3">
        <f>IF(G320="","",K320*(Settings!$C$9+Settings!$C$10))</f>
        <v/>
      </c>
      <c r="O320" s="3">
        <f>IF(G320="","",IF(F320="BUY",K320*Settings!$C$11,0))</f>
        <v/>
      </c>
      <c r="P320" s="3">
        <f>IF(G320="","",L320*Settings!$C$6)</f>
        <v/>
      </c>
      <c r="Q320" s="3">
        <f>IF(G320="","",IF(AND(F320="SELL",E320="Equity Delivery"),Settings!$C$13,0))</f>
        <v/>
      </c>
      <c r="R320" s="3">
        <f>IF(G320="","",SUM(L320:Q320))</f>
        <v/>
      </c>
      <c r="S320" s="3">
        <f>IF(G320="","",IF(F320="BUY",-(K320+R320),K320-R320))</f>
        <v/>
      </c>
    </row>
    <row r="321">
      <c r="A321">
        <f>IF(G321="","",ROW()-1)</f>
        <v/>
      </c>
      <c r="B321" s="6" t="n"/>
      <c r="G321" s="3" t="n"/>
      <c r="H321" s="3" t="n"/>
      <c r="K321" s="3">
        <f>IF(G321="","",G321*H321)</f>
        <v/>
      </c>
      <c r="L321" s="3">
        <f>IF(G321="","",Settings!$C$5)</f>
        <v/>
      </c>
      <c r="M321" s="3">
        <f>IF(G321="","",IF(F321="SELL",K321*IF(E321="Equity Intraday",Settings!$C$8,Settings!$C$7),0))</f>
        <v/>
      </c>
      <c r="N321" s="3">
        <f>IF(G321="","",K321*(Settings!$C$9+Settings!$C$10))</f>
        <v/>
      </c>
      <c r="O321" s="3">
        <f>IF(G321="","",IF(F321="BUY",K321*Settings!$C$11,0))</f>
        <v/>
      </c>
      <c r="P321" s="3">
        <f>IF(G321="","",L321*Settings!$C$6)</f>
        <v/>
      </c>
      <c r="Q321" s="3">
        <f>IF(G321="","",IF(AND(F321="SELL",E321="Equity Delivery"),Settings!$C$13,0))</f>
        <v/>
      </c>
      <c r="R321" s="3">
        <f>IF(G321="","",SUM(L321:Q321))</f>
        <v/>
      </c>
      <c r="S321" s="3">
        <f>IF(G321="","",IF(F321="BUY",-(K321+R321),K321-R321))</f>
        <v/>
      </c>
    </row>
    <row r="322">
      <c r="A322">
        <f>IF(G322="","",ROW()-1)</f>
        <v/>
      </c>
      <c r="B322" s="6" t="n"/>
      <c r="G322" s="3" t="n"/>
      <c r="H322" s="3" t="n"/>
      <c r="K322" s="3">
        <f>IF(G322="","",G322*H322)</f>
        <v/>
      </c>
      <c r="L322" s="3">
        <f>IF(G322="","",Settings!$C$5)</f>
        <v/>
      </c>
      <c r="M322" s="3">
        <f>IF(G322="","",IF(F322="SELL",K322*IF(E322="Equity Intraday",Settings!$C$8,Settings!$C$7),0))</f>
        <v/>
      </c>
      <c r="N322" s="3">
        <f>IF(G322="","",K322*(Settings!$C$9+Settings!$C$10))</f>
        <v/>
      </c>
      <c r="O322" s="3">
        <f>IF(G322="","",IF(F322="BUY",K322*Settings!$C$11,0))</f>
        <v/>
      </c>
      <c r="P322" s="3">
        <f>IF(G322="","",L322*Settings!$C$6)</f>
        <v/>
      </c>
      <c r="Q322" s="3">
        <f>IF(G322="","",IF(AND(F322="SELL",E322="Equity Delivery"),Settings!$C$13,0))</f>
        <v/>
      </c>
      <c r="R322" s="3">
        <f>IF(G322="","",SUM(L322:Q322))</f>
        <v/>
      </c>
      <c r="S322" s="3">
        <f>IF(G322="","",IF(F322="BUY",-(K322+R322),K322-R322))</f>
        <v/>
      </c>
    </row>
    <row r="323">
      <c r="A323">
        <f>IF(G323="","",ROW()-1)</f>
        <v/>
      </c>
      <c r="B323" s="6" t="n"/>
      <c r="G323" s="3" t="n"/>
      <c r="H323" s="3" t="n"/>
      <c r="K323" s="3">
        <f>IF(G323="","",G323*H323)</f>
        <v/>
      </c>
      <c r="L323" s="3">
        <f>IF(G323="","",Settings!$C$5)</f>
        <v/>
      </c>
      <c r="M323" s="3">
        <f>IF(G323="","",IF(F323="SELL",K323*IF(E323="Equity Intraday",Settings!$C$8,Settings!$C$7),0))</f>
        <v/>
      </c>
      <c r="N323" s="3">
        <f>IF(G323="","",K323*(Settings!$C$9+Settings!$C$10))</f>
        <v/>
      </c>
      <c r="O323" s="3">
        <f>IF(G323="","",IF(F323="BUY",K323*Settings!$C$11,0))</f>
        <v/>
      </c>
      <c r="P323" s="3">
        <f>IF(G323="","",L323*Settings!$C$6)</f>
        <v/>
      </c>
      <c r="Q323" s="3">
        <f>IF(G323="","",IF(AND(F323="SELL",E323="Equity Delivery"),Settings!$C$13,0))</f>
        <v/>
      </c>
      <c r="R323" s="3">
        <f>IF(G323="","",SUM(L323:Q323))</f>
        <v/>
      </c>
      <c r="S323" s="3">
        <f>IF(G323="","",IF(F323="BUY",-(K323+R323),K323-R323))</f>
        <v/>
      </c>
    </row>
    <row r="324">
      <c r="A324">
        <f>IF(G324="","",ROW()-1)</f>
        <v/>
      </c>
      <c r="B324" s="6" t="n"/>
      <c r="G324" s="3" t="n"/>
      <c r="H324" s="3" t="n"/>
      <c r="K324" s="3">
        <f>IF(G324="","",G324*H324)</f>
        <v/>
      </c>
      <c r="L324" s="3">
        <f>IF(G324="","",Settings!$C$5)</f>
        <v/>
      </c>
      <c r="M324" s="3">
        <f>IF(G324="","",IF(F324="SELL",K324*IF(E324="Equity Intraday",Settings!$C$8,Settings!$C$7),0))</f>
        <v/>
      </c>
      <c r="N324" s="3">
        <f>IF(G324="","",K324*(Settings!$C$9+Settings!$C$10))</f>
        <v/>
      </c>
      <c r="O324" s="3">
        <f>IF(G324="","",IF(F324="BUY",K324*Settings!$C$11,0))</f>
        <v/>
      </c>
      <c r="P324" s="3">
        <f>IF(G324="","",L324*Settings!$C$6)</f>
        <v/>
      </c>
      <c r="Q324" s="3">
        <f>IF(G324="","",IF(AND(F324="SELL",E324="Equity Delivery"),Settings!$C$13,0))</f>
        <v/>
      </c>
      <c r="R324" s="3">
        <f>IF(G324="","",SUM(L324:Q324))</f>
        <v/>
      </c>
      <c r="S324" s="3">
        <f>IF(G324="","",IF(F324="BUY",-(K324+R324),K324-R324))</f>
        <v/>
      </c>
    </row>
    <row r="325">
      <c r="A325">
        <f>IF(G325="","",ROW()-1)</f>
        <v/>
      </c>
      <c r="B325" s="6" t="n"/>
      <c r="G325" s="3" t="n"/>
      <c r="H325" s="3" t="n"/>
      <c r="K325" s="3">
        <f>IF(G325="","",G325*H325)</f>
        <v/>
      </c>
      <c r="L325" s="3">
        <f>IF(G325="","",Settings!$C$5)</f>
        <v/>
      </c>
      <c r="M325" s="3">
        <f>IF(G325="","",IF(F325="SELL",K325*IF(E325="Equity Intraday",Settings!$C$8,Settings!$C$7),0))</f>
        <v/>
      </c>
      <c r="N325" s="3">
        <f>IF(G325="","",K325*(Settings!$C$9+Settings!$C$10))</f>
        <v/>
      </c>
      <c r="O325" s="3">
        <f>IF(G325="","",IF(F325="BUY",K325*Settings!$C$11,0))</f>
        <v/>
      </c>
      <c r="P325" s="3">
        <f>IF(G325="","",L325*Settings!$C$6)</f>
        <v/>
      </c>
      <c r="Q325" s="3">
        <f>IF(G325="","",IF(AND(F325="SELL",E325="Equity Delivery"),Settings!$C$13,0))</f>
        <v/>
      </c>
      <c r="R325" s="3">
        <f>IF(G325="","",SUM(L325:Q325))</f>
        <v/>
      </c>
      <c r="S325" s="3">
        <f>IF(G325="","",IF(F325="BUY",-(K325+R325),K325-R325))</f>
        <v/>
      </c>
    </row>
    <row r="326">
      <c r="A326">
        <f>IF(G326="","",ROW()-1)</f>
        <v/>
      </c>
      <c r="B326" s="6" t="n"/>
      <c r="G326" s="3" t="n"/>
      <c r="H326" s="3" t="n"/>
      <c r="K326" s="3">
        <f>IF(G326="","",G326*H326)</f>
        <v/>
      </c>
      <c r="L326" s="3">
        <f>IF(G326="","",Settings!$C$5)</f>
        <v/>
      </c>
      <c r="M326" s="3">
        <f>IF(G326="","",IF(F326="SELL",K326*IF(E326="Equity Intraday",Settings!$C$8,Settings!$C$7),0))</f>
        <v/>
      </c>
      <c r="N326" s="3">
        <f>IF(G326="","",K326*(Settings!$C$9+Settings!$C$10))</f>
        <v/>
      </c>
      <c r="O326" s="3">
        <f>IF(G326="","",IF(F326="BUY",K326*Settings!$C$11,0))</f>
        <v/>
      </c>
      <c r="P326" s="3">
        <f>IF(G326="","",L326*Settings!$C$6)</f>
        <v/>
      </c>
      <c r="Q326" s="3">
        <f>IF(G326="","",IF(AND(F326="SELL",E326="Equity Delivery"),Settings!$C$13,0))</f>
        <v/>
      </c>
      <c r="R326" s="3">
        <f>IF(G326="","",SUM(L326:Q326))</f>
        <v/>
      </c>
      <c r="S326" s="3">
        <f>IF(G326="","",IF(F326="BUY",-(K326+R326),K326-R326))</f>
        <v/>
      </c>
    </row>
    <row r="327">
      <c r="A327">
        <f>IF(G327="","",ROW()-1)</f>
        <v/>
      </c>
      <c r="B327" s="6" t="n"/>
      <c r="G327" s="3" t="n"/>
      <c r="H327" s="3" t="n"/>
      <c r="K327" s="3">
        <f>IF(G327="","",G327*H327)</f>
        <v/>
      </c>
      <c r="L327" s="3">
        <f>IF(G327="","",Settings!$C$5)</f>
        <v/>
      </c>
      <c r="M327" s="3">
        <f>IF(G327="","",IF(F327="SELL",K327*IF(E327="Equity Intraday",Settings!$C$8,Settings!$C$7),0))</f>
        <v/>
      </c>
      <c r="N327" s="3">
        <f>IF(G327="","",K327*(Settings!$C$9+Settings!$C$10))</f>
        <v/>
      </c>
      <c r="O327" s="3">
        <f>IF(G327="","",IF(F327="BUY",K327*Settings!$C$11,0))</f>
        <v/>
      </c>
      <c r="P327" s="3">
        <f>IF(G327="","",L327*Settings!$C$6)</f>
        <v/>
      </c>
      <c r="Q327" s="3">
        <f>IF(G327="","",IF(AND(F327="SELL",E327="Equity Delivery"),Settings!$C$13,0))</f>
        <v/>
      </c>
      <c r="R327" s="3">
        <f>IF(G327="","",SUM(L327:Q327))</f>
        <v/>
      </c>
      <c r="S327" s="3">
        <f>IF(G327="","",IF(F327="BUY",-(K327+R327),K327-R327))</f>
        <v/>
      </c>
    </row>
    <row r="328">
      <c r="A328">
        <f>IF(G328="","",ROW()-1)</f>
        <v/>
      </c>
      <c r="B328" s="6" t="n"/>
      <c r="G328" s="3" t="n"/>
      <c r="H328" s="3" t="n"/>
      <c r="K328" s="3">
        <f>IF(G328="","",G328*H328)</f>
        <v/>
      </c>
      <c r="L328" s="3">
        <f>IF(G328="","",Settings!$C$5)</f>
        <v/>
      </c>
      <c r="M328" s="3">
        <f>IF(G328="","",IF(F328="SELL",K328*IF(E328="Equity Intraday",Settings!$C$8,Settings!$C$7),0))</f>
        <v/>
      </c>
      <c r="N328" s="3">
        <f>IF(G328="","",K328*(Settings!$C$9+Settings!$C$10))</f>
        <v/>
      </c>
      <c r="O328" s="3">
        <f>IF(G328="","",IF(F328="BUY",K328*Settings!$C$11,0))</f>
        <v/>
      </c>
      <c r="P328" s="3">
        <f>IF(G328="","",L328*Settings!$C$6)</f>
        <v/>
      </c>
      <c r="Q328" s="3">
        <f>IF(G328="","",IF(AND(F328="SELL",E328="Equity Delivery"),Settings!$C$13,0))</f>
        <v/>
      </c>
      <c r="R328" s="3">
        <f>IF(G328="","",SUM(L328:Q328))</f>
        <v/>
      </c>
      <c r="S328" s="3">
        <f>IF(G328="","",IF(F328="BUY",-(K328+R328),K328-R328))</f>
        <v/>
      </c>
    </row>
    <row r="329">
      <c r="A329">
        <f>IF(G329="","",ROW()-1)</f>
        <v/>
      </c>
      <c r="B329" s="6" t="n"/>
      <c r="G329" s="3" t="n"/>
      <c r="H329" s="3" t="n"/>
      <c r="K329" s="3">
        <f>IF(G329="","",G329*H329)</f>
        <v/>
      </c>
      <c r="L329" s="3">
        <f>IF(G329="","",Settings!$C$5)</f>
        <v/>
      </c>
      <c r="M329" s="3">
        <f>IF(G329="","",IF(F329="SELL",K329*IF(E329="Equity Intraday",Settings!$C$8,Settings!$C$7),0))</f>
        <v/>
      </c>
      <c r="N329" s="3">
        <f>IF(G329="","",K329*(Settings!$C$9+Settings!$C$10))</f>
        <v/>
      </c>
      <c r="O329" s="3">
        <f>IF(G329="","",IF(F329="BUY",K329*Settings!$C$11,0))</f>
        <v/>
      </c>
      <c r="P329" s="3">
        <f>IF(G329="","",L329*Settings!$C$6)</f>
        <v/>
      </c>
      <c r="Q329" s="3">
        <f>IF(G329="","",IF(AND(F329="SELL",E329="Equity Delivery"),Settings!$C$13,0))</f>
        <v/>
      </c>
      <c r="R329" s="3">
        <f>IF(G329="","",SUM(L329:Q329))</f>
        <v/>
      </c>
      <c r="S329" s="3">
        <f>IF(G329="","",IF(F329="BUY",-(K329+R329),K329-R329))</f>
        <v/>
      </c>
    </row>
    <row r="330">
      <c r="A330">
        <f>IF(G330="","",ROW()-1)</f>
        <v/>
      </c>
      <c r="B330" s="6" t="n"/>
      <c r="G330" s="3" t="n"/>
      <c r="H330" s="3" t="n"/>
      <c r="K330" s="3">
        <f>IF(G330="","",G330*H330)</f>
        <v/>
      </c>
      <c r="L330" s="3">
        <f>IF(G330="","",Settings!$C$5)</f>
        <v/>
      </c>
      <c r="M330" s="3">
        <f>IF(G330="","",IF(F330="SELL",K330*IF(E330="Equity Intraday",Settings!$C$8,Settings!$C$7),0))</f>
        <v/>
      </c>
      <c r="N330" s="3">
        <f>IF(G330="","",K330*(Settings!$C$9+Settings!$C$10))</f>
        <v/>
      </c>
      <c r="O330" s="3">
        <f>IF(G330="","",IF(F330="BUY",K330*Settings!$C$11,0))</f>
        <v/>
      </c>
      <c r="P330" s="3">
        <f>IF(G330="","",L330*Settings!$C$6)</f>
        <v/>
      </c>
      <c r="Q330" s="3">
        <f>IF(G330="","",IF(AND(F330="SELL",E330="Equity Delivery"),Settings!$C$13,0))</f>
        <v/>
      </c>
      <c r="R330" s="3">
        <f>IF(G330="","",SUM(L330:Q330))</f>
        <v/>
      </c>
      <c r="S330" s="3">
        <f>IF(G330="","",IF(F330="BUY",-(K330+R330),K330-R330))</f>
        <v/>
      </c>
    </row>
    <row r="331">
      <c r="A331">
        <f>IF(G331="","",ROW()-1)</f>
        <v/>
      </c>
      <c r="B331" s="6" t="n"/>
      <c r="G331" s="3" t="n"/>
      <c r="H331" s="3" t="n"/>
      <c r="K331" s="3">
        <f>IF(G331="","",G331*H331)</f>
        <v/>
      </c>
      <c r="L331" s="3">
        <f>IF(G331="","",Settings!$C$5)</f>
        <v/>
      </c>
      <c r="M331" s="3">
        <f>IF(G331="","",IF(F331="SELL",K331*IF(E331="Equity Intraday",Settings!$C$8,Settings!$C$7),0))</f>
        <v/>
      </c>
      <c r="N331" s="3">
        <f>IF(G331="","",K331*(Settings!$C$9+Settings!$C$10))</f>
        <v/>
      </c>
      <c r="O331" s="3">
        <f>IF(G331="","",IF(F331="BUY",K331*Settings!$C$11,0))</f>
        <v/>
      </c>
      <c r="P331" s="3">
        <f>IF(G331="","",L331*Settings!$C$6)</f>
        <v/>
      </c>
      <c r="Q331" s="3">
        <f>IF(G331="","",IF(AND(F331="SELL",E331="Equity Delivery"),Settings!$C$13,0))</f>
        <v/>
      </c>
      <c r="R331" s="3">
        <f>IF(G331="","",SUM(L331:Q331))</f>
        <v/>
      </c>
      <c r="S331" s="3">
        <f>IF(G331="","",IF(F331="BUY",-(K331+R331),K331-R331))</f>
        <v/>
      </c>
    </row>
    <row r="332">
      <c r="A332">
        <f>IF(G332="","",ROW()-1)</f>
        <v/>
      </c>
      <c r="B332" s="6" t="n"/>
      <c r="G332" s="3" t="n"/>
      <c r="H332" s="3" t="n"/>
      <c r="K332" s="3">
        <f>IF(G332="","",G332*H332)</f>
        <v/>
      </c>
      <c r="L332" s="3">
        <f>IF(G332="","",Settings!$C$5)</f>
        <v/>
      </c>
      <c r="M332" s="3">
        <f>IF(G332="","",IF(F332="SELL",K332*IF(E332="Equity Intraday",Settings!$C$8,Settings!$C$7),0))</f>
        <v/>
      </c>
      <c r="N332" s="3">
        <f>IF(G332="","",K332*(Settings!$C$9+Settings!$C$10))</f>
        <v/>
      </c>
      <c r="O332" s="3">
        <f>IF(G332="","",IF(F332="BUY",K332*Settings!$C$11,0))</f>
        <v/>
      </c>
      <c r="P332" s="3">
        <f>IF(G332="","",L332*Settings!$C$6)</f>
        <v/>
      </c>
      <c r="Q332" s="3">
        <f>IF(G332="","",IF(AND(F332="SELL",E332="Equity Delivery"),Settings!$C$13,0))</f>
        <v/>
      </c>
      <c r="R332" s="3">
        <f>IF(G332="","",SUM(L332:Q332))</f>
        <v/>
      </c>
      <c r="S332" s="3">
        <f>IF(G332="","",IF(F332="BUY",-(K332+R332),K332-R332))</f>
        <v/>
      </c>
    </row>
    <row r="333">
      <c r="A333">
        <f>IF(G333="","",ROW()-1)</f>
        <v/>
      </c>
      <c r="B333" s="6" t="n"/>
      <c r="G333" s="3" t="n"/>
      <c r="H333" s="3" t="n"/>
      <c r="K333" s="3">
        <f>IF(G333="","",G333*H333)</f>
        <v/>
      </c>
      <c r="L333" s="3">
        <f>IF(G333="","",Settings!$C$5)</f>
        <v/>
      </c>
      <c r="M333" s="3">
        <f>IF(G333="","",IF(F333="SELL",K333*IF(E333="Equity Intraday",Settings!$C$8,Settings!$C$7),0))</f>
        <v/>
      </c>
      <c r="N333" s="3">
        <f>IF(G333="","",K333*(Settings!$C$9+Settings!$C$10))</f>
        <v/>
      </c>
      <c r="O333" s="3">
        <f>IF(G333="","",IF(F333="BUY",K333*Settings!$C$11,0))</f>
        <v/>
      </c>
      <c r="P333" s="3">
        <f>IF(G333="","",L333*Settings!$C$6)</f>
        <v/>
      </c>
      <c r="Q333" s="3">
        <f>IF(G333="","",IF(AND(F333="SELL",E333="Equity Delivery"),Settings!$C$13,0))</f>
        <v/>
      </c>
      <c r="R333" s="3">
        <f>IF(G333="","",SUM(L333:Q333))</f>
        <v/>
      </c>
      <c r="S333" s="3">
        <f>IF(G333="","",IF(F333="BUY",-(K333+R333),K333-R333))</f>
        <v/>
      </c>
    </row>
    <row r="334">
      <c r="A334">
        <f>IF(G334="","",ROW()-1)</f>
        <v/>
      </c>
      <c r="B334" s="6" t="n"/>
      <c r="G334" s="3" t="n"/>
      <c r="H334" s="3" t="n"/>
      <c r="K334" s="3">
        <f>IF(G334="","",G334*H334)</f>
        <v/>
      </c>
      <c r="L334" s="3">
        <f>IF(G334="","",Settings!$C$5)</f>
        <v/>
      </c>
      <c r="M334" s="3">
        <f>IF(G334="","",IF(F334="SELL",K334*IF(E334="Equity Intraday",Settings!$C$8,Settings!$C$7),0))</f>
        <v/>
      </c>
      <c r="N334" s="3">
        <f>IF(G334="","",K334*(Settings!$C$9+Settings!$C$10))</f>
        <v/>
      </c>
      <c r="O334" s="3">
        <f>IF(G334="","",IF(F334="BUY",K334*Settings!$C$11,0))</f>
        <v/>
      </c>
      <c r="P334" s="3">
        <f>IF(G334="","",L334*Settings!$C$6)</f>
        <v/>
      </c>
      <c r="Q334" s="3">
        <f>IF(G334="","",IF(AND(F334="SELL",E334="Equity Delivery"),Settings!$C$13,0))</f>
        <v/>
      </c>
      <c r="R334" s="3">
        <f>IF(G334="","",SUM(L334:Q334))</f>
        <v/>
      </c>
      <c r="S334" s="3">
        <f>IF(G334="","",IF(F334="BUY",-(K334+R334),K334-R334))</f>
        <v/>
      </c>
    </row>
    <row r="335">
      <c r="A335">
        <f>IF(G335="","",ROW()-1)</f>
        <v/>
      </c>
      <c r="B335" s="6" t="n"/>
      <c r="G335" s="3" t="n"/>
      <c r="H335" s="3" t="n"/>
      <c r="K335" s="3">
        <f>IF(G335="","",G335*H335)</f>
        <v/>
      </c>
      <c r="L335" s="3">
        <f>IF(G335="","",Settings!$C$5)</f>
        <v/>
      </c>
      <c r="M335" s="3">
        <f>IF(G335="","",IF(F335="SELL",K335*IF(E335="Equity Intraday",Settings!$C$8,Settings!$C$7),0))</f>
        <v/>
      </c>
      <c r="N335" s="3">
        <f>IF(G335="","",K335*(Settings!$C$9+Settings!$C$10))</f>
        <v/>
      </c>
      <c r="O335" s="3">
        <f>IF(G335="","",IF(F335="BUY",K335*Settings!$C$11,0))</f>
        <v/>
      </c>
      <c r="P335" s="3">
        <f>IF(G335="","",L335*Settings!$C$6)</f>
        <v/>
      </c>
      <c r="Q335" s="3">
        <f>IF(G335="","",IF(AND(F335="SELL",E335="Equity Delivery"),Settings!$C$13,0))</f>
        <v/>
      </c>
      <c r="R335" s="3">
        <f>IF(G335="","",SUM(L335:Q335))</f>
        <v/>
      </c>
      <c r="S335" s="3">
        <f>IF(G335="","",IF(F335="BUY",-(K335+R335),K335-R335))</f>
        <v/>
      </c>
    </row>
    <row r="336">
      <c r="A336">
        <f>IF(G336="","",ROW()-1)</f>
        <v/>
      </c>
      <c r="B336" s="6" t="n"/>
      <c r="G336" s="3" t="n"/>
      <c r="H336" s="3" t="n"/>
      <c r="K336" s="3">
        <f>IF(G336="","",G336*H336)</f>
        <v/>
      </c>
      <c r="L336" s="3">
        <f>IF(G336="","",Settings!$C$5)</f>
        <v/>
      </c>
      <c r="M336" s="3">
        <f>IF(G336="","",IF(F336="SELL",K336*IF(E336="Equity Intraday",Settings!$C$8,Settings!$C$7),0))</f>
        <v/>
      </c>
      <c r="N336" s="3">
        <f>IF(G336="","",K336*(Settings!$C$9+Settings!$C$10))</f>
        <v/>
      </c>
      <c r="O336" s="3">
        <f>IF(G336="","",IF(F336="BUY",K336*Settings!$C$11,0))</f>
        <v/>
      </c>
      <c r="P336" s="3">
        <f>IF(G336="","",L336*Settings!$C$6)</f>
        <v/>
      </c>
      <c r="Q336" s="3">
        <f>IF(G336="","",IF(AND(F336="SELL",E336="Equity Delivery"),Settings!$C$13,0))</f>
        <v/>
      </c>
      <c r="R336" s="3">
        <f>IF(G336="","",SUM(L336:Q336))</f>
        <v/>
      </c>
      <c r="S336" s="3">
        <f>IF(G336="","",IF(F336="BUY",-(K336+R336),K336-R336))</f>
        <v/>
      </c>
    </row>
    <row r="337">
      <c r="A337">
        <f>IF(G337="","",ROW()-1)</f>
        <v/>
      </c>
      <c r="B337" s="6" t="n"/>
      <c r="G337" s="3" t="n"/>
      <c r="H337" s="3" t="n"/>
      <c r="K337" s="3">
        <f>IF(G337="","",G337*H337)</f>
        <v/>
      </c>
      <c r="L337" s="3">
        <f>IF(G337="","",Settings!$C$5)</f>
        <v/>
      </c>
      <c r="M337" s="3">
        <f>IF(G337="","",IF(F337="SELL",K337*IF(E337="Equity Intraday",Settings!$C$8,Settings!$C$7),0))</f>
        <v/>
      </c>
      <c r="N337" s="3">
        <f>IF(G337="","",K337*(Settings!$C$9+Settings!$C$10))</f>
        <v/>
      </c>
      <c r="O337" s="3">
        <f>IF(G337="","",IF(F337="BUY",K337*Settings!$C$11,0))</f>
        <v/>
      </c>
      <c r="P337" s="3">
        <f>IF(G337="","",L337*Settings!$C$6)</f>
        <v/>
      </c>
      <c r="Q337" s="3">
        <f>IF(G337="","",IF(AND(F337="SELL",E337="Equity Delivery"),Settings!$C$13,0))</f>
        <v/>
      </c>
      <c r="R337" s="3">
        <f>IF(G337="","",SUM(L337:Q337))</f>
        <v/>
      </c>
      <c r="S337" s="3">
        <f>IF(G337="","",IF(F337="BUY",-(K337+R337),K337-R337))</f>
        <v/>
      </c>
    </row>
    <row r="338">
      <c r="A338">
        <f>IF(G338="","",ROW()-1)</f>
        <v/>
      </c>
      <c r="B338" s="6" t="n"/>
      <c r="G338" s="3" t="n"/>
      <c r="H338" s="3" t="n"/>
      <c r="K338" s="3">
        <f>IF(G338="","",G338*H338)</f>
        <v/>
      </c>
      <c r="L338" s="3">
        <f>IF(G338="","",Settings!$C$5)</f>
        <v/>
      </c>
      <c r="M338" s="3">
        <f>IF(G338="","",IF(F338="SELL",K338*IF(E338="Equity Intraday",Settings!$C$8,Settings!$C$7),0))</f>
        <v/>
      </c>
      <c r="N338" s="3">
        <f>IF(G338="","",K338*(Settings!$C$9+Settings!$C$10))</f>
        <v/>
      </c>
      <c r="O338" s="3">
        <f>IF(G338="","",IF(F338="BUY",K338*Settings!$C$11,0))</f>
        <v/>
      </c>
      <c r="P338" s="3">
        <f>IF(G338="","",L338*Settings!$C$6)</f>
        <v/>
      </c>
      <c r="Q338" s="3">
        <f>IF(G338="","",IF(AND(F338="SELL",E338="Equity Delivery"),Settings!$C$13,0))</f>
        <v/>
      </c>
      <c r="R338" s="3">
        <f>IF(G338="","",SUM(L338:Q338))</f>
        <v/>
      </c>
      <c r="S338" s="3">
        <f>IF(G338="","",IF(F338="BUY",-(K338+R338),K338-R338))</f>
        <v/>
      </c>
    </row>
    <row r="339">
      <c r="A339">
        <f>IF(G339="","",ROW()-1)</f>
        <v/>
      </c>
      <c r="B339" s="6" t="n"/>
      <c r="G339" s="3" t="n"/>
      <c r="H339" s="3" t="n"/>
      <c r="K339" s="3">
        <f>IF(G339="","",G339*H339)</f>
        <v/>
      </c>
      <c r="L339" s="3">
        <f>IF(G339="","",Settings!$C$5)</f>
        <v/>
      </c>
      <c r="M339" s="3">
        <f>IF(G339="","",IF(F339="SELL",K339*IF(E339="Equity Intraday",Settings!$C$8,Settings!$C$7),0))</f>
        <v/>
      </c>
      <c r="N339" s="3">
        <f>IF(G339="","",K339*(Settings!$C$9+Settings!$C$10))</f>
        <v/>
      </c>
      <c r="O339" s="3">
        <f>IF(G339="","",IF(F339="BUY",K339*Settings!$C$11,0))</f>
        <v/>
      </c>
      <c r="P339" s="3">
        <f>IF(G339="","",L339*Settings!$C$6)</f>
        <v/>
      </c>
      <c r="Q339" s="3">
        <f>IF(G339="","",IF(AND(F339="SELL",E339="Equity Delivery"),Settings!$C$13,0))</f>
        <v/>
      </c>
      <c r="R339" s="3">
        <f>IF(G339="","",SUM(L339:Q339))</f>
        <v/>
      </c>
      <c r="S339" s="3">
        <f>IF(G339="","",IF(F339="BUY",-(K339+R339),K339-R339))</f>
        <v/>
      </c>
    </row>
    <row r="340">
      <c r="A340">
        <f>IF(G340="","",ROW()-1)</f>
        <v/>
      </c>
      <c r="B340" s="6" t="n"/>
      <c r="G340" s="3" t="n"/>
      <c r="H340" s="3" t="n"/>
      <c r="K340" s="3">
        <f>IF(G340="","",G340*H340)</f>
        <v/>
      </c>
      <c r="L340" s="3">
        <f>IF(G340="","",Settings!$C$5)</f>
        <v/>
      </c>
      <c r="M340" s="3">
        <f>IF(G340="","",IF(F340="SELL",K340*IF(E340="Equity Intraday",Settings!$C$8,Settings!$C$7),0))</f>
        <v/>
      </c>
      <c r="N340" s="3">
        <f>IF(G340="","",K340*(Settings!$C$9+Settings!$C$10))</f>
        <v/>
      </c>
      <c r="O340" s="3">
        <f>IF(G340="","",IF(F340="BUY",K340*Settings!$C$11,0))</f>
        <v/>
      </c>
      <c r="P340" s="3">
        <f>IF(G340="","",L340*Settings!$C$6)</f>
        <v/>
      </c>
      <c r="Q340" s="3">
        <f>IF(G340="","",IF(AND(F340="SELL",E340="Equity Delivery"),Settings!$C$13,0))</f>
        <v/>
      </c>
      <c r="R340" s="3">
        <f>IF(G340="","",SUM(L340:Q340))</f>
        <v/>
      </c>
      <c r="S340" s="3">
        <f>IF(G340="","",IF(F340="BUY",-(K340+R340),K340-R340))</f>
        <v/>
      </c>
    </row>
    <row r="341">
      <c r="A341">
        <f>IF(G341="","",ROW()-1)</f>
        <v/>
      </c>
      <c r="B341" s="6" t="n"/>
      <c r="G341" s="3" t="n"/>
      <c r="H341" s="3" t="n"/>
      <c r="K341" s="3">
        <f>IF(G341="","",G341*H341)</f>
        <v/>
      </c>
      <c r="L341" s="3">
        <f>IF(G341="","",Settings!$C$5)</f>
        <v/>
      </c>
      <c r="M341" s="3">
        <f>IF(G341="","",IF(F341="SELL",K341*IF(E341="Equity Intraday",Settings!$C$8,Settings!$C$7),0))</f>
        <v/>
      </c>
      <c r="N341" s="3">
        <f>IF(G341="","",K341*(Settings!$C$9+Settings!$C$10))</f>
        <v/>
      </c>
      <c r="O341" s="3">
        <f>IF(G341="","",IF(F341="BUY",K341*Settings!$C$11,0))</f>
        <v/>
      </c>
      <c r="P341" s="3">
        <f>IF(G341="","",L341*Settings!$C$6)</f>
        <v/>
      </c>
      <c r="Q341" s="3">
        <f>IF(G341="","",IF(AND(F341="SELL",E341="Equity Delivery"),Settings!$C$13,0))</f>
        <v/>
      </c>
      <c r="R341" s="3">
        <f>IF(G341="","",SUM(L341:Q341))</f>
        <v/>
      </c>
      <c r="S341" s="3">
        <f>IF(G341="","",IF(F341="BUY",-(K341+R341),K341-R341))</f>
        <v/>
      </c>
    </row>
    <row r="342">
      <c r="A342">
        <f>IF(G342="","",ROW()-1)</f>
        <v/>
      </c>
      <c r="B342" s="6" t="n"/>
      <c r="G342" s="3" t="n"/>
      <c r="H342" s="3" t="n"/>
      <c r="K342" s="3">
        <f>IF(G342="","",G342*H342)</f>
        <v/>
      </c>
      <c r="L342" s="3">
        <f>IF(G342="","",Settings!$C$5)</f>
        <v/>
      </c>
      <c r="M342" s="3">
        <f>IF(G342="","",IF(F342="SELL",K342*IF(E342="Equity Intraday",Settings!$C$8,Settings!$C$7),0))</f>
        <v/>
      </c>
      <c r="N342" s="3">
        <f>IF(G342="","",K342*(Settings!$C$9+Settings!$C$10))</f>
        <v/>
      </c>
      <c r="O342" s="3">
        <f>IF(G342="","",IF(F342="BUY",K342*Settings!$C$11,0))</f>
        <v/>
      </c>
      <c r="P342" s="3">
        <f>IF(G342="","",L342*Settings!$C$6)</f>
        <v/>
      </c>
      <c r="Q342" s="3">
        <f>IF(G342="","",IF(AND(F342="SELL",E342="Equity Delivery"),Settings!$C$13,0))</f>
        <v/>
      </c>
      <c r="R342" s="3">
        <f>IF(G342="","",SUM(L342:Q342))</f>
        <v/>
      </c>
      <c r="S342" s="3">
        <f>IF(G342="","",IF(F342="BUY",-(K342+R342),K342-R342))</f>
        <v/>
      </c>
    </row>
    <row r="343">
      <c r="A343">
        <f>IF(G343="","",ROW()-1)</f>
        <v/>
      </c>
      <c r="B343" s="6" t="n"/>
      <c r="G343" s="3" t="n"/>
      <c r="H343" s="3" t="n"/>
      <c r="K343" s="3">
        <f>IF(G343="","",G343*H343)</f>
        <v/>
      </c>
      <c r="L343" s="3">
        <f>IF(G343="","",Settings!$C$5)</f>
        <v/>
      </c>
      <c r="M343" s="3">
        <f>IF(G343="","",IF(F343="SELL",K343*IF(E343="Equity Intraday",Settings!$C$8,Settings!$C$7),0))</f>
        <v/>
      </c>
      <c r="N343" s="3">
        <f>IF(G343="","",K343*(Settings!$C$9+Settings!$C$10))</f>
        <v/>
      </c>
      <c r="O343" s="3">
        <f>IF(G343="","",IF(F343="BUY",K343*Settings!$C$11,0))</f>
        <v/>
      </c>
      <c r="P343" s="3">
        <f>IF(G343="","",L343*Settings!$C$6)</f>
        <v/>
      </c>
      <c r="Q343" s="3">
        <f>IF(G343="","",IF(AND(F343="SELL",E343="Equity Delivery"),Settings!$C$13,0))</f>
        <v/>
      </c>
      <c r="R343" s="3">
        <f>IF(G343="","",SUM(L343:Q343))</f>
        <v/>
      </c>
      <c r="S343" s="3">
        <f>IF(G343="","",IF(F343="BUY",-(K343+R343),K343-R343))</f>
        <v/>
      </c>
    </row>
    <row r="344">
      <c r="A344">
        <f>IF(G344="","",ROW()-1)</f>
        <v/>
      </c>
      <c r="B344" s="6" t="n"/>
      <c r="G344" s="3" t="n"/>
      <c r="H344" s="3" t="n"/>
      <c r="K344" s="3">
        <f>IF(G344="","",G344*H344)</f>
        <v/>
      </c>
      <c r="L344" s="3">
        <f>IF(G344="","",Settings!$C$5)</f>
        <v/>
      </c>
      <c r="M344" s="3">
        <f>IF(G344="","",IF(F344="SELL",K344*IF(E344="Equity Intraday",Settings!$C$8,Settings!$C$7),0))</f>
        <v/>
      </c>
      <c r="N344" s="3">
        <f>IF(G344="","",K344*(Settings!$C$9+Settings!$C$10))</f>
        <v/>
      </c>
      <c r="O344" s="3">
        <f>IF(G344="","",IF(F344="BUY",K344*Settings!$C$11,0))</f>
        <v/>
      </c>
      <c r="P344" s="3">
        <f>IF(G344="","",L344*Settings!$C$6)</f>
        <v/>
      </c>
      <c r="Q344" s="3">
        <f>IF(G344="","",IF(AND(F344="SELL",E344="Equity Delivery"),Settings!$C$13,0))</f>
        <v/>
      </c>
      <c r="R344" s="3">
        <f>IF(G344="","",SUM(L344:Q344))</f>
        <v/>
      </c>
      <c r="S344" s="3">
        <f>IF(G344="","",IF(F344="BUY",-(K344+R344),K344-R344))</f>
        <v/>
      </c>
    </row>
    <row r="345">
      <c r="A345">
        <f>IF(G345="","",ROW()-1)</f>
        <v/>
      </c>
      <c r="B345" s="6" t="n"/>
      <c r="G345" s="3" t="n"/>
      <c r="H345" s="3" t="n"/>
      <c r="K345" s="3">
        <f>IF(G345="","",G345*H345)</f>
        <v/>
      </c>
      <c r="L345" s="3">
        <f>IF(G345="","",Settings!$C$5)</f>
        <v/>
      </c>
      <c r="M345" s="3">
        <f>IF(G345="","",IF(F345="SELL",K345*IF(E345="Equity Intraday",Settings!$C$8,Settings!$C$7),0))</f>
        <v/>
      </c>
      <c r="N345" s="3">
        <f>IF(G345="","",K345*(Settings!$C$9+Settings!$C$10))</f>
        <v/>
      </c>
      <c r="O345" s="3">
        <f>IF(G345="","",IF(F345="BUY",K345*Settings!$C$11,0))</f>
        <v/>
      </c>
      <c r="P345" s="3">
        <f>IF(G345="","",L345*Settings!$C$6)</f>
        <v/>
      </c>
      <c r="Q345" s="3">
        <f>IF(G345="","",IF(AND(F345="SELL",E345="Equity Delivery"),Settings!$C$13,0))</f>
        <v/>
      </c>
      <c r="R345" s="3">
        <f>IF(G345="","",SUM(L345:Q345))</f>
        <v/>
      </c>
      <c r="S345" s="3">
        <f>IF(G345="","",IF(F345="BUY",-(K345+R345),K345-R345))</f>
        <v/>
      </c>
    </row>
    <row r="346">
      <c r="A346">
        <f>IF(G346="","",ROW()-1)</f>
        <v/>
      </c>
      <c r="B346" s="6" t="n"/>
      <c r="G346" s="3" t="n"/>
      <c r="H346" s="3" t="n"/>
      <c r="K346" s="3">
        <f>IF(G346="","",G346*H346)</f>
        <v/>
      </c>
      <c r="L346" s="3">
        <f>IF(G346="","",Settings!$C$5)</f>
        <v/>
      </c>
      <c r="M346" s="3">
        <f>IF(G346="","",IF(F346="SELL",K346*IF(E346="Equity Intraday",Settings!$C$8,Settings!$C$7),0))</f>
        <v/>
      </c>
      <c r="N346" s="3">
        <f>IF(G346="","",K346*(Settings!$C$9+Settings!$C$10))</f>
        <v/>
      </c>
      <c r="O346" s="3">
        <f>IF(G346="","",IF(F346="BUY",K346*Settings!$C$11,0))</f>
        <v/>
      </c>
      <c r="P346" s="3">
        <f>IF(G346="","",L346*Settings!$C$6)</f>
        <v/>
      </c>
      <c r="Q346" s="3">
        <f>IF(G346="","",IF(AND(F346="SELL",E346="Equity Delivery"),Settings!$C$13,0))</f>
        <v/>
      </c>
      <c r="R346" s="3">
        <f>IF(G346="","",SUM(L346:Q346))</f>
        <v/>
      </c>
      <c r="S346" s="3">
        <f>IF(G346="","",IF(F346="BUY",-(K346+R346),K346-R346))</f>
        <v/>
      </c>
    </row>
    <row r="347">
      <c r="A347">
        <f>IF(G347="","",ROW()-1)</f>
        <v/>
      </c>
      <c r="B347" s="6" t="n"/>
      <c r="G347" s="3" t="n"/>
      <c r="H347" s="3" t="n"/>
      <c r="K347" s="3">
        <f>IF(G347="","",G347*H347)</f>
        <v/>
      </c>
      <c r="L347" s="3">
        <f>IF(G347="","",Settings!$C$5)</f>
        <v/>
      </c>
      <c r="M347" s="3">
        <f>IF(G347="","",IF(F347="SELL",K347*IF(E347="Equity Intraday",Settings!$C$8,Settings!$C$7),0))</f>
        <v/>
      </c>
      <c r="N347" s="3">
        <f>IF(G347="","",K347*(Settings!$C$9+Settings!$C$10))</f>
        <v/>
      </c>
      <c r="O347" s="3">
        <f>IF(G347="","",IF(F347="BUY",K347*Settings!$C$11,0))</f>
        <v/>
      </c>
      <c r="P347" s="3">
        <f>IF(G347="","",L347*Settings!$C$6)</f>
        <v/>
      </c>
      <c r="Q347" s="3">
        <f>IF(G347="","",IF(AND(F347="SELL",E347="Equity Delivery"),Settings!$C$13,0))</f>
        <v/>
      </c>
      <c r="R347" s="3">
        <f>IF(G347="","",SUM(L347:Q347))</f>
        <v/>
      </c>
      <c r="S347" s="3">
        <f>IF(G347="","",IF(F347="BUY",-(K347+R347),K347-R347))</f>
        <v/>
      </c>
    </row>
    <row r="348">
      <c r="A348">
        <f>IF(G348="","",ROW()-1)</f>
        <v/>
      </c>
      <c r="B348" s="6" t="n"/>
      <c r="G348" s="3" t="n"/>
      <c r="H348" s="3" t="n"/>
      <c r="K348" s="3">
        <f>IF(G348="","",G348*H348)</f>
        <v/>
      </c>
      <c r="L348" s="3">
        <f>IF(G348="","",Settings!$C$5)</f>
        <v/>
      </c>
      <c r="M348" s="3">
        <f>IF(G348="","",IF(F348="SELL",K348*IF(E348="Equity Intraday",Settings!$C$8,Settings!$C$7),0))</f>
        <v/>
      </c>
      <c r="N348" s="3">
        <f>IF(G348="","",K348*(Settings!$C$9+Settings!$C$10))</f>
        <v/>
      </c>
      <c r="O348" s="3">
        <f>IF(G348="","",IF(F348="BUY",K348*Settings!$C$11,0))</f>
        <v/>
      </c>
      <c r="P348" s="3">
        <f>IF(G348="","",L348*Settings!$C$6)</f>
        <v/>
      </c>
      <c r="Q348" s="3">
        <f>IF(G348="","",IF(AND(F348="SELL",E348="Equity Delivery"),Settings!$C$13,0))</f>
        <v/>
      </c>
      <c r="R348" s="3">
        <f>IF(G348="","",SUM(L348:Q348))</f>
        <v/>
      </c>
      <c r="S348" s="3">
        <f>IF(G348="","",IF(F348="BUY",-(K348+R348),K348-R348))</f>
        <v/>
      </c>
    </row>
    <row r="349">
      <c r="A349">
        <f>IF(G349="","",ROW()-1)</f>
        <v/>
      </c>
      <c r="B349" s="6" t="n"/>
      <c r="G349" s="3" t="n"/>
      <c r="H349" s="3" t="n"/>
      <c r="K349" s="3">
        <f>IF(G349="","",G349*H349)</f>
        <v/>
      </c>
      <c r="L349" s="3">
        <f>IF(G349="","",Settings!$C$5)</f>
        <v/>
      </c>
      <c r="M349" s="3">
        <f>IF(G349="","",IF(F349="SELL",K349*IF(E349="Equity Intraday",Settings!$C$8,Settings!$C$7),0))</f>
        <v/>
      </c>
      <c r="N349" s="3">
        <f>IF(G349="","",K349*(Settings!$C$9+Settings!$C$10))</f>
        <v/>
      </c>
      <c r="O349" s="3">
        <f>IF(G349="","",IF(F349="BUY",K349*Settings!$C$11,0))</f>
        <v/>
      </c>
      <c r="P349" s="3">
        <f>IF(G349="","",L349*Settings!$C$6)</f>
        <v/>
      </c>
      <c r="Q349" s="3">
        <f>IF(G349="","",IF(AND(F349="SELL",E349="Equity Delivery"),Settings!$C$13,0))</f>
        <v/>
      </c>
      <c r="R349" s="3">
        <f>IF(G349="","",SUM(L349:Q349))</f>
        <v/>
      </c>
      <c r="S349" s="3">
        <f>IF(G349="","",IF(F349="BUY",-(K349+R349),K349-R349))</f>
        <v/>
      </c>
    </row>
    <row r="350">
      <c r="A350">
        <f>IF(G350="","",ROW()-1)</f>
        <v/>
      </c>
      <c r="B350" s="6" t="n"/>
      <c r="G350" s="3" t="n"/>
      <c r="H350" s="3" t="n"/>
      <c r="K350" s="3">
        <f>IF(G350="","",G350*H350)</f>
        <v/>
      </c>
      <c r="L350" s="3">
        <f>IF(G350="","",Settings!$C$5)</f>
        <v/>
      </c>
      <c r="M350" s="3">
        <f>IF(G350="","",IF(F350="SELL",K350*IF(E350="Equity Intraday",Settings!$C$8,Settings!$C$7),0))</f>
        <v/>
      </c>
      <c r="N350" s="3">
        <f>IF(G350="","",K350*(Settings!$C$9+Settings!$C$10))</f>
        <v/>
      </c>
      <c r="O350" s="3">
        <f>IF(G350="","",IF(F350="BUY",K350*Settings!$C$11,0))</f>
        <v/>
      </c>
      <c r="P350" s="3">
        <f>IF(G350="","",L350*Settings!$C$6)</f>
        <v/>
      </c>
      <c r="Q350" s="3">
        <f>IF(G350="","",IF(AND(F350="SELL",E350="Equity Delivery"),Settings!$C$13,0))</f>
        <v/>
      </c>
      <c r="R350" s="3">
        <f>IF(G350="","",SUM(L350:Q350))</f>
        <v/>
      </c>
      <c r="S350" s="3">
        <f>IF(G350="","",IF(F350="BUY",-(K350+R350),K350-R350))</f>
        <v/>
      </c>
    </row>
    <row r="351">
      <c r="A351">
        <f>IF(G351="","",ROW()-1)</f>
        <v/>
      </c>
      <c r="B351" s="6" t="n"/>
      <c r="G351" s="3" t="n"/>
      <c r="H351" s="3" t="n"/>
      <c r="K351" s="3">
        <f>IF(G351="","",G351*H351)</f>
        <v/>
      </c>
      <c r="L351" s="3">
        <f>IF(G351="","",Settings!$C$5)</f>
        <v/>
      </c>
      <c r="M351" s="3">
        <f>IF(G351="","",IF(F351="SELL",K351*IF(E351="Equity Intraday",Settings!$C$8,Settings!$C$7),0))</f>
        <v/>
      </c>
      <c r="N351" s="3">
        <f>IF(G351="","",K351*(Settings!$C$9+Settings!$C$10))</f>
        <v/>
      </c>
      <c r="O351" s="3">
        <f>IF(G351="","",IF(F351="BUY",K351*Settings!$C$11,0))</f>
        <v/>
      </c>
      <c r="P351" s="3">
        <f>IF(G351="","",L351*Settings!$C$6)</f>
        <v/>
      </c>
      <c r="Q351" s="3">
        <f>IF(G351="","",IF(AND(F351="SELL",E351="Equity Delivery"),Settings!$C$13,0))</f>
        <v/>
      </c>
      <c r="R351" s="3">
        <f>IF(G351="","",SUM(L351:Q351))</f>
        <v/>
      </c>
      <c r="S351" s="3">
        <f>IF(G351="","",IF(F351="BUY",-(K351+R351),K351-R351))</f>
        <v/>
      </c>
    </row>
    <row r="352">
      <c r="A352">
        <f>IF(G352="","",ROW()-1)</f>
        <v/>
      </c>
      <c r="B352" s="6" t="n"/>
      <c r="G352" s="3" t="n"/>
      <c r="H352" s="3" t="n"/>
      <c r="K352" s="3">
        <f>IF(G352="","",G352*H352)</f>
        <v/>
      </c>
      <c r="L352" s="3">
        <f>IF(G352="","",Settings!$C$5)</f>
        <v/>
      </c>
      <c r="M352" s="3">
        <f>IF(G352="","",IF(F352="SELL",K352*IF(E352="Equity Intraday",Settings!$C$8,Settings!$C$7),0))</f>
        <v/>
      </c>
      <c r="N352" s="3">
        <f>IF(G352="","",K352*(Settings!$C$9+Settings!$C$10))</f>
        <v/>
      </c>
      <c r="O352" s="3">
        <f>IF(G352="","",IF(F352="BUY",K352*Settings!$C$11,0))</f>
        <v/>
      </c>
      <c r="P352" s="3">
        <f>IF(G352="","",L352*Settings!$C$6)</f>
        <v/>
      </c>
      <c r="Q352" s="3">
        <f>IF(G352="","",IF(AND(F352="SELL",E352="Equity Delivery"),Settings!$C$13,0))</f>
        <v/>
      </c>
      <c r="R352" s="3">
        <f>IF(G352="","",SUM(L352:Q352))</f>
        <v/>
      </c>
      <c r="S352" s="3">
        <f>IF(G352="","",IF(F352="BUY",-(K352+R352),K352-R352))</f>
        <v/>
      </c>
    </row>
    <row r="353">
      <c r="A353">
        <f>IF(G353="","",ROW()-1)</f>
        <v/>
      </c>
      <c r="B353" s="6" t="n"/>
      <c r="G353" s="3" t="n"/>
      <c r="H353" s="3" t="n"/>
      <c r="K353" s="3">
        <f>IF(G353="","",G353*H353)</f>
        <v/>
      </c>
      <c r="L353" s="3">
        <f>IF(G353="","",Settings!$C$5)</f>
        <v/>
      </c>
      <c r="M353" s="3">
        <f>IF(G353="","",IF(F353="SELL",K353*IF(E353="Equity Intraday",Settings!$C$8,Settings!$C$7),0))</f>
        <v/>
      </c>
      <c r="N353" s="3">
        <f>IF(G353="","",K353*(Settings!$C$9+Settings!$C$10))</f>
        <v/>
      </c>
      <c r="O353" s="3">
        <f>IF(G353="","",IF(F353="BUY",K353*Settings!$C$11,0))</f>
        <v/>
      </c>
      <c r="P353" s="3">
        <f>IF(G353="","",L353*Settings!$C$6)</f>
        <v/>
      </c>
      <c r="Q353" s="3">
        <f>IF(G353="","",IF(AND(F353="SELL",E353="Equity Delivery"),Settings!$C$13,0))</f>
        <v/>
      </c>
      <c r="R353" s="3">
        <f>IF(G353="","",SUM(L353:Q353))</f>
        <v/>
      </c>
      <c r="S353" s="3">
        <f>IF(G353="","",IF(F353="BUY",-(K353+R353),K353-R353))</f>
        <v/>
      </c>
    </row>
    <row r="354">
      <c r="A354">
        <f>IF(G354="","",ROW()-1)</f>
        <v/>
      </c>
      <c r="B354" s="6" t="n"/>
      <c r="G354" s="3" t="n"/>
      <c r="H354" s="3" t="n"/>
      <c r="K354" s="3">
        <f>IF(G354="","",G354*H354)</f>
        <v/>
      </c>
      <c r="L354" s="3">
        <f>IF(G354="","",Settings!$C$5)</f>
        <v/>
      </c>
      <c r="M354" s="3">
        <f>IF(G354="","",IF(F354="SELL",K354*IF(E354="Equity Intraday",Settings!$C$8,Settings!$C$7),0))</f>
        <v/>
      </c>
      <c r="N354" s="3">
        <f>IF(G354="","",K354*(Settings!$C$9+Settings!$C$10))</f>
        <v/>
      </c>
      <c r="O354" s="3">
        <f>IF(G354="","",IF(F354="BUY",K354*Settings!$C$11,0))</f>
        <v/>
      </c>
      <c r="P354" s="3">
        <f>IF(G354="","",L354*Settings!$C$6)</f>
        <v/>
      </c>
      <c r="Q354" s="3">
        <f>IF(G354="","",IF(AND(F354="SELL",E354="Equity Delivery"),Settings!$C$13,0))</f>
        <v/>
      </c>
      <c r="R354" s="3">
        <f>IF(G354="","",SUM(L354:Q354))</f>
        <v/>
      </c>
      <c r="S354" s="3">
        <f>IF(G354="","",IF(F354="BUY",-(K354+R354),K354-R354))</f>
        <v/>
      </c>
    </row>
    <row r="355">
      <c r="A355">
        <f>IF(G355="","",ROW()-1)</f>
        <v/>
      </c>
      <c r="B355" s="6" t="n"/>
      <c r="G355" s="3" t="n"/>
      <c r="H355" s="3" t="n"/>
      <c r="K355" s="3">
        <f>IF(G355="","",G355*H355)</f>
        <v/>
      </c>
      <c r="L355" s="3">
        <f>IF(G355="","",Settings!$C$5)</f>
        <v/>
      </c>
      <c r="M355" s="3">
        <f>IF(G355="","",IF(F355="SELL",K355*IF(E355="Equity Intraday",Settings!$C$8,Settings!$C$7),0))</f>
        <v/>
      </c>
      <c r="N355" s="3">
        <f>IF(G355="","",K355*(Settings!$C$9+Settings!$C$10))</f>
        <v/>
      </c>
      <c r="O355" s="3">
        <f>IF(G355="","",IF(F355="BUY",K355*Settings!$C$11,0))</f>
        <v/>
      </c>
      <c r="P355" s="3">
        <f>IF(G355="","",L355*Settings!$C$6)</f>
        <v/>
      </c>
      <c r="Q355" s="3">
        <f>IF(G355="","",IF(AND(F355="SELL",E355="Equity Delivery"),Settings!$C$13,0))</f>
        <v/>
      </c>
      <c r="R355" s="3">
        <f>IF(G355="","",SUM(L355:Q355))</f>
        <v/>
      </c>
      <c r="S355" s="3">
        <f>IF(G355="","",IF(F355="BUY",-(K355+R355),K355-R355))</f>
        <v/>
      </c>
    </row>
    <row r="356">
      <c r="A356">
        <f>IF(G356="","",ROW()-1)</f>
        <v/>
      </c>
      <c r="B356" s="6" t="n"/>
      <c r="G356" s="3" t="n"/>
      <c r="H356" s="3" t="n"/>
      <c r="K356" s="3">
        <f>IF(G356="","",G356*H356)</f>
        <v/>
      </c>
      <c r="L356" s="3">
        <f>IF(G356="","",Settings!$C$5)</f>
        <v/>
      </c>
      <c r="M356" s="3">
        <f>IF(G356="","",IF(F356="SELL",K356*IF(E356="Equity Intraday",Settings!$C$8,Settings!$C$7),0))</f>
        <v/>
      </c>
      <c r="N356" s="3">
        <f>IF(G356="","",K356*(Settings!$C$9+Settings!$C$10))</f>
        <v/>
      </c>
      <c r="O356" s="3">
        <f>IF(G356="","",IF(F356="BUY",K356*Settings!$C$11,0))</f>
        <v/>
      </c>
      <c r="P356" s="3">
        <f>IF(G356="","",L356*Settings!$C$6)</f>
        <v/>
      </c>
      <c r="Q356" s="3">
        <f>IF(G356="","",IF(AND(F356="SELL",E356="Equity Delivery"),Settings!$C$13,0))</f>
        <v/>
      </c>
      <c r="R356" s="3">
        <f>IF(G356="","",SUM(L356:Q356))</f>
        <v/>
      </c>
      <c r="S356" s="3">
        <f>IF(G356="","",IF(F356="BUY",-(K356+R356),K356-R356))</f>
        <v/>
      </c>
    </row>
    <row r="357">
      <c r="A357">
        <f>IF(G357="","",ROW()-1)</f>
        <v/>
      </c>
      <c r="B357" s="6" t="n"/>
      <c r="G357" s="3" t="n"/>
      <c r="H357" s="3" t="n"/>
      <c r="K357" s="3">
        <f>IF(G357="","",G357*H357)</f>
        <v/>
      </c>
      <c r="L357" s="3">
        <f>IF(G357="","",Settings!$C$5)</f>
        <v/>
      </c>
      <c r="M357" s="3">
        <f>IF(G357="","",IF(F357="SELL",K357*IF(E357="Equity Intraday",Settings!$C$8,Settings!$C$7),0))</f>
        <v/>
      </c>
      <c r="N357" s="3">
        <f>IF(G357="","",K357*(Settings!$C$9+Settings!$C$10))</f>
        <v/>
      </c>
      <c r="O357" s="3">
        <f>IF(G357="","",IF(F357="BUY",K357*Settings!$C$11,0))</f>
        <v/>
      </c>
      <c r="P357" s="3">
        <f>IF(G357="","",L357*Settings!$C$6)</f>
        <v/>
      </c>
      <c r="Q357" s="3">
        <f>IF(G357="","",IF(AND(F357="SELL",E357="Equity Delivery"),Settings!$C$13,0))</f>
        <v/>
      </c>
      <c r="R357" s="3">
        <f>IF(G357="","",SUM(L357:Q357))</f>
        <v/>
      </c>
      <c r="S357" s="3">
        <f>IF(G357="","",IF(F357="BUY",-(K357+R357),K357-R357))</f>
        <v/>
      </c>
    </row>
    <row r="358">
      <c r="A358">
        <f>IF(G358="","",ROW()-1)</f>
        <v/>
      </c>
      <c r="B358" s="6" t="n"/>
      <c r="G358" s="3" t="n"/>
      <c r="H358" s="3" t="n"/>
      <c r="K358" s="3">
        <f>IF(G358="","",G358*H358)</f>
        <v/>
      </c>
      <c r="L358" s="3">
        <f>IF(G358="","",Settings!$C$5)</f>
        <v/>
      </c>
      <c r="M358" s="3">
        <f>IF(G358="","",IF(F358="SELL",K358*IF(E358="Equity Intraday",Settings!$C$8,Settings!$C$7),0))</f>
        <v/>
      </c>
      <c r="N358" s="3">
        <f>IF(G358="","",K358*(Settings!$C$9+Settings!$C$10))</f>
        <v/>
      </c>
      <c r="O358" s="3">
        <f>IF(G358="","",IF(F358="BUY",K358*Settings!$C$11,0))</f>
        <v/>
      </c>
      <c r="P358" s="3">
        <f>IF(G358="","",L358*Settings!$C$6)</f>
        <v/>
      </c>
      <c r="Q358" s="3">
        <f>IF(G358="","",IF(AND(F358="SELL",E358="Equity Delivery"),Settings!$C$13,0))</f>
        <v/>
      </c>
      <c r="R358" s="3">
        <f>IF(G358="","",SUM(L358:Q358))</f>
        <v/>
      </c>
      <c r="S358" s="3">
        <f>IF(G358="","",IF(F358="BUY",-(K358+R358),K358-R358))</f>
        <v/>
      </c>
    </row>
    <row r="359">
      <c r="A359">
        <f>IF(G359="","",ROW()-1)</f>
        <v/>
      </c>
      <c r="B359" s="6" t="n"/>
      <c r="G359" s="3" t="n"/>
      <c r="H359" s="3" t="n"/>
      <c r="K359" s="3">
        <f>IF(G359="","",G359*H359)</f>
        <v/>
      </c>
      <c r="L359" s="3">
        <f>IF(G359="","",Settings!$C$5)</f>
        <v/>
      </c>
      <c r="M359" s="3">
        <f>IF(G359="","",IF(F359="SELL",K359*IF(E359="Equity Intraday",Settings!$C$8,Settings!$C$7),0))</f>
        <v/>
      </c>
      <c r="N359" s="3">
        <f>IF(G359="","",K359*(Settings!$C$9+Settings!$C$10))</f>
        <v/>
      </c>
      <c r="O359" s="3">
        <f>IF(G359="","",IF(F359="BUY",K359*Settings!$C$11,0))</f>
        <v/>
      </c>
      <c r="P359" s="3">
        <f>IF(G359="","",L359*Settings!$C$6)</f>
        <v/>
      </c>
      <c r="Q359" s="3">
        <f>IF(G359="","",IF(AND(F359="SELL",E359="Equity Delivery"),Settings!$C$13,0))</f>
        <v/>
      </c>
      <c r="R359" s="3">
        <f>IF(G359="","",SUM(L359:Q359))</f>
        <v/>
      </c>
      <c r="S359" s="3">
        <f>IF(G359="","",IF(F359="BUY",-(K359+R359),K359-R359))</f>
        <v/>
      </c>
    </row>
    <row r="360">
      <c r="A360">
        <f>IF(G360="","",ROW()-1)</f>
        <v/>
      </c>
      <c r="B360" s="6" t="n"/>
      <c r="G360" s="3" t="n"/>
      <c r="H360" s="3" t="n"/>
      <c r="K360" s="3">
        <f>IF(G360="","",G360*H360)</f>
        <v/>
      </c>
      <c r="L360" s="3">
        <f>IF(G360="","",Settings!$C$5)</f>
        <v/>
      </c>
      <c r="M360" s="3">
        <f>IF(G360="","",IF(F360="SELL",K360*IF(E360="Equity Intraday",Settings!$C$8,Settings!$C$7),0))</f>
        <v/>
      </c>
      <c r="N360" s="3">
        <f>IF(G360="","",K360*(Settings!$C$9+Settings!$C$10))</f>
        <v/>
      </c>
      <c r="O360" s="3">
        <f>IF(G360="","",IF(F360="BUY",K360*Settings!$C$11,0))</f>
        <v/>
      </c>
      <c r="P360" s="3">
        <f>IF(G360="","",L360*Settings!$C$6)</f>
        <v/>
      </c>
      <c r="Q360" s="3">
        <f>IF(G360="","",IF(AND(F360="SELL",E360="Equity Delivery"),Settings!$C$13,0))</f>
        <v/>
      </c>
      <c r="R360" s="3">
        <f>IF(G360="","",SUM(L360:Q360))</f>
        <v/>
      </c>
      <c r="S360" s="3">
        <f>IF(G360="","",IF(F360="BUY",-(K360+R360),K360-R360))</f>
        <v/>
      </c>
    </row>
    <row r="361">
      <c r="A361">
        <f>IF(G361="","",ROW()-1)</f>
        <v/>
      </c>
      <c r="B361" s="6" t="n"/>
      <c r="G361" s="3" t="n"/>
      <c r="H361" s="3" t="n"/>
      <c r="K361" s="3">
        <f>IF(G361="","",G361*H361)</f>
        <v/>
      </c>
      <c r="L361" s="3">
        <f>IF(G361="","",Settings!$C$5)</f>
        <v/>
      </c>
      <c r="M361" s="3">
        <f>IF(G361="","",IF(F361="SELL",K361*IF(E361="Equity Intraday",Settings!$C$8,Settings!$C$7),0))</f>
        <v/>
      </c>
      <c r="N361" s="3">
        <f>IF(G361="","",K361*(Settings!$C$9+Settings!$C$10))</f>
        <v/>
      </c>
      <c r="O361" s="3">
        <f>IF(G361="","",IF(F361="BUY",K361*Settings!$C$11,0))</f>
        <v/>
      </c>
      <c r="P361" s="3">
        <f>IF(G361="","",L361*Settings!$C$6)</f>
        <v/>
      </c>
      <c r="Q361" s="3">
        <f>IF(G361="","",IF(AND(F361="SELL",E361="Equity Delivery"),Settings!$C$13,0))</f>
        <v/>
      </c>
      <c r="R361" s="3">
        <f>IF(G361="","",SUM(L361:Q361))</f>
        <v/>
      </c>
      <c r="S361" s="3">
        <f>IF(G361="","",IF(F361="BUY",-(K361+R361),K361-R361))</f>
        <v/>
      </c>
    </row>
    <row r="362">
      <c r="A362">
        <f>IF(G362="","",ROW()-1)</f>
        <v/>
      </c>
      <c r="B362" s="6" t="n"/>
      <c r="G362" s="3" t="n"/>
      <c r="H362" s="3" t="n"/>
      <c r="K362" s="3">
        <f>IF(G362="","",G362*H362)</f>
        <v/>
      </c>
      <c r="L362" s="3">
        <f>IF(G362="","",Settings!$C$5)</f>
        <v/>
      </c>
      <c r="M362" s="3">
        <f>IF(G362="","",IF(F362="SELL",K362*IF(E362="Equity Intraday",Settings!$C$8,Settings!$C$7),0))</f>
        <v/>
      </c>
      <c r="N362" s="3">
        <f>IF(G362="","",K362*(Settings!$C$9+Settings!$C$10))</f>
        <v/>
      </c>
      <c r="O362" s="3">
        <f>IF(G362="","",IF(F362="BUY",K362*Settings!$C$11,0))</f>
        <v/>
      </c>
      <c r="P362" s="3">
        <f>IF(G362="","",L362*Settings!$C$6)</f>
        <v/>
      </c>
      <c r="Q362" s="3">
        <f>IF(G362="","",IF(AND(F362="SELL",E362="Equity Delivery"),Settings!$C$13,0))</f>
        <v/>
      </c>
      <c r="R362" s="3">
        <f>IF(G362="","",SUM(L362:Q362))</f>
        <v/>
      </c>
      <c r="S362" s="3">
        <f>IF(G362="","",IF(F362="BUY",-(K362+R362),K362-R362))</f>
        <v/>
      </c>
    </row>
    <row r="363">
      <c r="A363">
        <f>IF(G363="","",ROW()-1)</f>
        <v/>
      </c>
      <c r="B363" s="6" t="n"/>
      <c r="G363" s="3" t="n"/>
      <c r="H363" s="3" t="n"/>
      <c r="K363" s="3">
        <f>IF(G363="","",G363*H363)</f>
        <v/>
      </c>
      <c r="L363" s="3">
        <f>IF(G363="","",Settings!$C$5)</f>
        <v/>
      </c>
      <c r="M363" s="3">
        <f>IF(G363="","",IF(F363="SELL",K363*IF(E363="Equity Intraday",Settings!$C$8,Settings!$C$7),0))</f>
        <v/>
      </c>
      <c r="N363" s="3">
        <f>IF(G363="","",K363*(Settings!$C$9+Settings!$C$10))</f>
        <v/>
      </c>
      <c r="O363" s="3">
        <f>IF(G363="","",IF(F363="BUY",K363*Settings!$C$11,0))</f>
        <v/>
      </c>
      <c r="P363" s="3">
        <f>IF(G363="","",L363*Settings!$C$6)</f>
        <v/>
      </c>
      <c r="Q363" s="3">
        <f>IF(G363="","",IF(AND(F363="SELL",E363="Equity Delivery"),Settings!$C$13,0))</f>
        <v/>
      </c>
      <c r="R363" s="3">
        <f>IF(G363="","",SUM(L363:Q363))</f>
        <v/>
      </c>
      <c r="S363" s="3">
        <f>IF(G363="","",IF(F363="BUY",-(K363+R363),K363-R363))</f>
        <v/>
      </c>
    </row>
    <row r="364">
      <c r="A364">
        <f>IF(G364="","",ROW()-1)</f>
        <v/>
      </c>
      <c r="B364" s="6" t="n"/>
      <c r="G364" s="3" t="n"/>
      <c r="H364" s="3" t="n"/>
      <c r="K364" s="3">
        <f>IF(G364="","",G364*H364)</f>
        <v/>
      </c>
      <c r="L364" s="3">
        <f>IF(G364="","",Settings!$C$5)</f>
        <v/>
      </c>
      <c r="M364" s="3">
        <f>IF(G364="","",IF(F364="SELL",K364*IF(E364="Equity Intraday",Settings!$C$8,Settings!$C$7),0))</f>
        <v/>
      </c>
      <c r="N364" s="3">
        <f>IF(G364="","",K364*(Settings!$C$9+Settings!$C$10))</f>
        <v/>
      </c>
      <c r="O364" s="3">
        <f>IF(G364="","",IF(F364="BUY",K364*Settings!$C$11,0))</f>
        <v/>
      </c>
      <c r="P364" s="3">
        <f>IF(G364="","",L364*Settings!$C$6)</f>
        <v/>
      </c>
      <c r="Q364" s="3">
        <f>IF(G364="","",IF(AND(F364="SELL",E364="Equity Delivery"),Settings!$C$13,0))</f>
        <v/>
      </c>
      <c r="R364" s="3">
        <f>IF(G364="","",SUM(L364:Q364))</f>
        <v/>
      </c>
      <c r="S364" s="3">
        <f>IF(G364="","",IF(F364="BUY",-(K364+R364),K364-R364))</f>
        <v/>
      </c>
    </row>
    <row r="365">
      <c r="A365">
        <f>IF(G365="","",ROW()-1)</f>
        <v/>
      </c>
      <c r="B365" s="6" t="n"/>
      <c r="G365" s="3" t="n"/>
      <c r="H365" s="3" t="n"/>
      <c r="K365" s="3">
        <f>IF(G365="","",G365*H365)</f>
        <v/>
      </c>
      <c r="L365" s="3">
        <f>IF(G365="","",Settings!$C$5)</f>
        <v/>
      </c>
      <c r="M365" s="3">
        <f>IF(G365="","",IF(F365="SELL",K365*IF(E365="Equity Intraday",Settings!$C$8,Settings!$C$7),0))</f>
        <v/>
      </c>
      <c r="N365" s="3">
        <f>IF(G365="","",K365*(Settings!$C$9+Settings!$C$10))</f>
        <v/>
      </c>
      <c r="O365" s="3">
        <f>IF(G365="","",IF(F365="BUY",K365*Settings!$C$11,0))</f>
        <v/>
      </c>
      <c r="P365" s="3">
        <f>IF(G365="","",L365*Settings!$C$6)</f>
        <v/>
      </c>
      <c r="Q365" s="3">
        <f>IF(G365="","",IF(AND(F365="SELL",E365="Equity Delivery"),Settings!$C$13,0))</f>
        <v/>
      </c>
      <c r="R365" s="3">
        <f>IF(G365="","",SUM(L365:Q365))</f>
        <v/>
      </c>
      <c r="S365" s="3">
        <f>IF(G365="","",IF(F365="BUY",-(K365+R365),K365-R365))</f>
        <v/>
      </c>
    </row>
    <row r="366">
      <c r="A366">
        <f>IF(G366="","",ROW()-1)</f>
        <v/>
      </c>
      <c r="B366" s="6" t="n"/>
      <c r="G366" s="3" t="n"/>
      <c r="H366" s="3" t="n"/>
      <c r="K366" s="3">
        <f>IF(G366="","",G366*H366)</f>
        <v/>
      </c>
      <c r="L366" s="3">
        <f>IF(G366="","",Settings!$C$5)</f>
        <v/>
      </c>
      <c r="M366" s="3">
        <f>IF(G366="","",IF(F366="SELL",K366*IF(E366="Equity Intraday",Settings!$C$8,Settings!$C$7),0))</f>
        <v/>
      </c>
      <c r="N366" s="3">
        <f>IF(G366="","",K366*(Settings!$C$9+Settings!$C$10))</f>
        <v/>
      </c>
      <c r="O366" s="3">
        <f>IF(G366="","",IF(F366="BUY",K366*Settings!$C$11,0))</f>
        <v/>
      </c>
      <c r="P366" s="3">
        <f>IF(G366="","",L366*Settings!$C$6)</f>
        <v/>
      </c>
      <c r="Q366" s="3">
        <f>IF(G366="","",IF(AND(F366="SELL",E366="Equity Delivery"),Settings!$C$13,0))</f>
        <v/>
      </c>
      <c r="R366" s="3">
        <f>IF(G366="","",SUM(L366:Q366))</f>
        <v/>
      </c>
      <c r="S366" s="3">
        <f>IF(G366="","",IF(F366="BUY",-(K366+R366),K366-R366))</f>
        <v/>
      </c>
    </row>
    <row r="367">
      <c r="A367">
        <f>IF(G367="","",ROW()-1)</f>
        <v/>
      </c>
      <c r="B367" s="6" t="n"/>
      <c r="G367" s="3" t="n"/>
      <c r="H367" s="3" t="n"/>
      <c r="K367" s="3">
        <f>IF(G367="","",G367*H367)</f>
        <v/>
      </c>
      <c r="L367" s="3">
        <f>IF(G367="","",Settings!$C$5)</f>
        <v/>
      </c>
      <c r="M367" s="3">
        <f>IF(G367="","",IF(F367="SELL",K367*IF(E367="Equity Intraday",Settings!$C$8,Settings!$C$7),0))</f>
        <v/>
      </c>
      <c r="N367" s="3">
        <f>IF(G367="","",K367*(Settings!$C$9+Settings!$C$10))</f>
        <v/>
      </c>
      <c r="O367" s="3">
        <f>IF(G367="","",IF(F367="BUY",K367*Settings!$C$11,0))</f>
        <v/>
      </c>
      <c r="P367" s="3">
        <f>IF(G367="","",L367*Settings!$C$6)</f>
        <v/>
      </c>
      <c r="Q367" s="3">
        <f>IF(G367="","",IF(AND(F367="SELL",E367="Equity Delivery"),Settings!$C$13,0))</f>
        <v/>
      </c>
      <c r="R367" s="3">
        <f>IF(G367="","",SUM(L367:Q367))</f>
        <v/>
      </c>
      <c r="S367" s="3">
        <f>IF(G367="","",IF(F367="BUY",-(K367+R367),K367-R367))</f>
        <v/>
      </c>
    </row>
    <row r="368">
      <c r="A368">
        <f>IF(G368="","",ROW()-1)</f>
        <v/>
      </c>
      <c r="B368" s="6" t="n"/>
      <c r="G368" s="3" t="n"/>
      <c r="H368" s="3" t="n"/>
      <c r="K368" s="3">
        <f>IF(G368="","",G368*H368)</f>
        <v/>
      </c>
      <c r="L368" s="3">
        <f>IF(G368="","",Settings!$C$5)</f>
        <v/>
      </c>
      <c r="M368" s="3">
        <f>IF(G368="","",IF(F368="SELL",K368*IF(E368="Equity Intraday",Settings!$C$8,Settings!$C$7),0))</f>
        <v/>
      </c>
      <c r="N368" s="3">
        <f>IF(G368="","",K368*(Settings!$C$9+Settings!$C$10))</f>
        <v/>
      </c>
      <c r="O368" s="3">
        <f>IF(G368="","",IF(F368="BUY",K368*Settings!$C$11,0))</f>
        <v/>
      </c>
      <c r="P368" s="3">
        <f>IF(G368="","",L368*Settings!$C$6)</f>
        <v/>
      </c>
      <c r="Q368" s="3">
        <f>IF(G368="","",IF(AND(F368="SELL",E368="Equity Delivery"),Settings!$C$13,0))</f>
        <v/>
      </c>
      <c r="R368" s="3">
        <f>IF(G368="","",SUM(L368:Q368))</f>
        <v/>
      </c>
      <c r="S368" s="3">
        <f>IF(G368="","",IF(F368="BUY",-(K368+R368),K368-R368))</f>
        <v/>
      </c>
    </row>
    <row r="369">
      <c r="A369">
        <f>IF(G369="","",ROW()-1)</f>
        <v/>
      </c>
      <c r="B369" s="6" t="n"/>
      <c r="G369" s="3" t="n"/>
      <c r="H369" s="3" t="n"/>
      <c r="K369" s="3">
        <f>IF(G369="","",G369*H369)</f>
        <v/>
      </c>
      <c r="L369" s="3">
        <f>IF(G369="","",Settings!$C$5)</f>
        <v/>
      </c>
      <c r="M369" s="3">
        <f>IF(G369="","",IF(F369="SELL",K369*IF(E369="Equity Intraday",Settings!$C$8,Settings!$C$7),0))</f>
        <v/>
      </c>
      <c r="N369" s="3">
        <f>IF(G369="","",K369*(Settings!$C$9+Settings!$C$10))</f>
        <v/>
      </c>
      <c r="O369" s="3">
        <f>IF(G369="","",IF(F369="BUY",K369*Settings!$C$11,0))</f>
        <v/>
      </c>
      <c r="P369" s="3">
        <f>IF(G369="","",L369*Settings!$C$6)</f>
        <v/>
      </c>
      <c r="Q369" s="3">
        <f>IF(G369="","",IF(AND(F369="SELL",E369="Equity Delivery"),Settings!$C$13,0))</f>
        <v/>
      </c>
      <c r="R369" s="3">
        <f>IF(G369="","",SUM(L369:Q369))</f>
        <v/>
      </c>
      <c r="S369" s="3">
        <f>IF(G369="","",IF(F369="BUY",-(K369+R369),K369-R369))</f>
        <v/>
      </c>
    </row>
    <row r="370">
      <c r="A370">
        <f>IF(G370="","",ROW()-1)</f>
        <v/>
      </c>
      <c r="B370" s="6" t="n"/>
      <c r="G370" s="3" t="n"/>
      <c r="H370" s="3" t="n"/>
      <c r="K370" s="3">
        <f>IF(G370="","",G370*H370)</f>
        <v/>
      </c>
      <c r="L370" s="3">
        <f>IF(G370="","",Settings!$C$5)</f>
        <v/>
      </c>
      <c r="M370" s="3">
        <f>IF(G370="","",IF(F370="SELL",K370*IF(E370="Equity Intraday",Settings!$C$8,Settings!$C$7),0))</f>
        <v/>
      </c>
      <c r="N370" s="3">
        <f>IF(G370="","",K370*(Settings!$C$9+Settings!$C$10))</f>
        <v/>
      </c>
      <c r="O370" s="3">
        <f>IF(G370="","",IF(F370="BUY",K370*Settings!$C$11,0))</f>
        <v/>
      </c>
      <c r="P370" s="3">
        <f>IF(G370="","",L370*Settings!$C$6)</f>
        <v/>
      </c>
      <c r="Q370" s="3">
        <f>IF(G370="","",IF(AND(F370="SELL",E370="Equity Delivery"),Settings!$C$13,0))</f>
        <v/>
      </c>
      <c r="R370" s="3">
        <f>IF(G370="","",SUM(L370:Q370))</f>
        <v/>
      </c>
      <c r="S370" s="3">
        <f>IF(G370="","",IF(F370="BUY",-(K370+R370),K370-R370))</f>
        <v/>
      </c>
    </row>
    <row r="371">
      <c r="A371">
        <f>IF(G371="","",ROW()-1)</f>
        <v/>
      </c>
      <c r="B371" s="6" t="n"/>
      <c r="G371" s="3" t="n"/>
      <c r="H371" s="3" t="n"/>
      <c r="K371" s="3">
        <f>IF(G371="","",G371*H371)</f>
        <v/>
      </c>
      <c r="L371" s="3">
        <f>IF(G371="","",Settings!$C$5)</f>
        <v/>
      </c>
      <c r="M371" s="3">
        <f>IF(G371="","",IF(F371="SELL",K371*IF(E371="Equity Intraday",Settings!$C$8,Settings!$C$7),0))</f>
        <v/>
      </c>
      <c r="N371" s="3">
        <f>IF(G371="","",K371*(Settings!$C$9+Settings!$C$10))</f>
        <v/>
      </c>
      <c r="O371" s="3">
        <f>IF(G371="","",IF(F371="BUY",K371*Settings!$C$11,0))</f>
        <v/>
      </c>
      <c r="P371" s="3">
        <f>IF(G371="","",L371*Settings!$C$6)</f>
        <v/>
      </c>
      <c r="Q371" s="3">
        <f>IF(G371="","",IF(AND(F371="SELL",E371="Equity Delivery"),Settings!$C$13,0))</f>
        <v/>
      </c>
      <c r="R371" s="3">
        <f>IF(G371="","",SUM(L371:Q371))</f>
        <v/>
      </c>
      <c r="S371" s="3">
        <f>IF(G371="","",IF(F371="BUY",-(K371+R371),K371-R371))</f>
        <v/>
      </c>
    </row>
    <row r="372">
      <c r="A372">
        <f>IF(G372="","",ROW()-1)</f>
        <v/>
      </c>
      <c r="B372" s="6" t="n"/>
      <c r="G372" s="3" t="n"/>
      <c r="H372" s="3" t="n"/>
      <c r="K372" s="3">
        <f>IF(G372="","",G372*H372)</f>
        <v/>
      </c>
      <c r="L372" s="3">
        <f>IF(G372="","",Settings!$C$5)</f>
        <v/>
      </c>
      <c r="M372" s="3">
        <f>IF(G372="","",IF(F372="SELL",K372*IF(E372="Equity Intraday",Settings!$C$8,Settings!$C$7),0))</f>
        <v/>
      </c>
      <c r="N372" s="3">
        <f>IF(G372="","",K372*(Settings!$C$9+Settings!$C$10))</f>
        <v/>
      </c>
      <c r="O372" s="3">
        <f>IF(G372="","",IF(F372="BUY",K372*Settings!$C$11,0))</f>
        <v/>
      </c>
      <c r="P372" s="3">
        <f>IF(G372="","",L372*Settings!$C$6)</f>
        <v/>
      </c>
      <c r="Q372" s="3">
        <f>IF(G372="","",IF(AND(F372="SELL",E372="Equity Delivery"),Settings!$C$13,0))</f>
        <v/>
      </c>
      <c r="R372" s="3">
        <f>IF(G372="","",SUM(L372:Q372))</f>
        <v/>
      </c>
      <c r="S372" s="3">
        <f>IF(G372="","",IF(F372="BUY",-(K372+R372),K372-R372))</f>
        <v/>
      </c>
    </row>
    <row r="373">
      <c r="A373">
        <f>IF(G373="","",ROW()-1)</f>
        <v/>
      </c>
      <c r="B373" s="6" t="n"/>
      <c r="G373" s="3" t="n"/>
      <c r="H373" s="3" t="n"/>
      <c r="K373" s="3">
        <f>IF(G373="","",G373*H373)</f>
        <v/>
      </c>
      <c r="L373" s="3">
        <f>IF(G373="","",Settings!$C$5)</f>
        <v/>
      </c>
      <c r="M373" s="3">
        <f>IF(G373="","",IF(F373="SELL",K373*IF(E373="Equity Intraday",Settings!$C$8,Settings!$C$7),0))</f>
        <v/>
      </c>
      <c r="N373" s="3">
        <f>IF(G373="","",K373*(Settings!$C$9+Settings!$C$10))</f>
        <v/>
      </c>
      <c r="O373" s="3">
        <f>IF(G373="","",IF(F373="BUY",K373*Settings!$C$11,0))</f>
        <v/>
      </c>
      <c r="P373" s="3">
        <f>IF(G373="","",L373*Settings!$C$6)</f>
        <v/>
      </c>
      <c r="Q373" s="3">
        <f>IF(G373="","",IF(AND(F373="SELL",E373="Equity Delivery"),Settings!$C$13,0))</f>
        <v/>
      </c>
      <c r="R373" s="3">
        <f>IF(G373="","",SUM(L373:Q373))</f>
        <v/>
      </c>
      <c r="S373" s="3">
        <f>IF(G373="","",IF(F373="BUY",-(K373+R373),K373-R373))</f>
        <v/>
      </c>
    </row>
    <row r="374">
      <c r="A374">
        <f>IF(G374="","",ROW()-1)</f>
        <v/>
      </c>
      <c r="B374" s="6" t="n"/>
      <c r="G374" s="3" t="n"/>
      <c r="H374" s="3" t="n"/>
      <c r="K374" s="3">
        <f>IF(G374="","",G374*H374)</f>
        <v/>
      </c>
      <c r="L374" s="3">
        <f>IF(G374="","",Settings!$C$5)</f>
        <v/>
      </c>
      <c r="M374" s="3">
        <f>IF(G374="","",IF(F374="SELL",K374*IF(E374="Equity Intraday",Settings!$C$8,Settings!$C$7),0))</f>
        <v/>
      </c>
      <c r="N374" s="3">
        <f>IF(G374="","",K374*(Settings!$C$9+Settings!$C$10))</f>
        <v/>
      </c>
      <c r="O374" s="3">
        <f>IF(G374="","",IF(F374="BUY",K374*Settings!$C$11,0))</f>
        <v/>
      </c>
      <c r="P374" s="3">
        <f>IF(G374="","",L374*Settings!$C$6)</f>
        <v/>
      </c>
      <c r="Q374" s="3">
        <f>IF(G374="","",IF(AND(F374="SELL",E374="Equity Delivery"),Settings!$C$13,0))</f>
        <v/>
      </c>
      <c r="R374" s="3">
        <f>IF(G374="","",SUM(L374:Q374))</f>
        <v/>
      </c>
      <c r="S374" s="3">
        <f>IF(G374="","",IF(F374="BUY",-(K374+R374),K374-R374))</f>
        <v/>
      </c>
    </row>
    <row r="375">
      <c r="A375">
        <f>IF(G375="","",ROW()-1)</f>
        <v/>
      </c>
      <c r="B375" s="6" t="n"/>
      <c r="G375" s="3" t="n"/>
      <c r="H375" s="3" t="n"/>
      <c r="K375" s="3">
        <f>IF(G375="","",G375*H375)</f>
        <v/>
      </c>
      <c r="L375" s="3">
        <f>IF(G375="","",Settings!$C$5)</f>
        <v/>
      </c>
      <c r="M375" s="3">
        <f>IF(G375="","",IF(F375="SELL",K375*IF(E375="Equity Intraday",Settings!$C$8,Settings!$C$7),0))</f>
        <v/>
      </c>
      <c r="N375" s="3">
        <f>IF(G375="","",K375*(Settings!$C$9+Settings!$C$10))</f>
        <v/>
      </c>
      <c r="O375" s="3">
        <f>IF(G375="","",IF(F375="BUY",K375*Settings!$C$11,0))</f>
        <v/>
      </c>
      <c r="P375" s="3">
        <f>IF(G375="","",L375*Settings!$C$6)</f>
        <v/>
      </c>
      <c r="Q375" s="3">
        <f>IF(G375="","",IF(AND(F375="SELL",E375="Equity Delivery"),Settings!$C$13,0))</f>
        <v/>
      </c>
      <c r="R375" s="3">
        <f>IF(G375="","",SUM(L375:Q375))</f>
        <v/>
      </c>
      <c r="S375" s="3">
        <f>IF(G375="","",IF(F375="BUY",-(K375+R375),K375-R375))</f>
        <v/>
      </c>
    </row>
    <row r="376">
      <c r="A376">
        <f>IF(G376="","",ROW()-1)</f>
        <v/>
      </c>
      <c r="B376" s="6" t="n"/>
      <c r="G376" s="3" t="n"/>
      <c r="H376" s="3" t="n"/>
      <c r="K376" s="3">
        <f>IF(G376="","",G376*H376)</f>
        <v/>
      </c>
      <c r="L376" s="3">
        <f>IF(G376="","",Settings!$C$5)</f>
        <v/>
      </c>
      <c r="M376" s="3">
        <f>IF(G376="","",IF(F376="SELL",K376*IF(E376="Equity Intraday",Settings!$C$8,Settings!$C$7),0))</f>
        <v/>
      </c>
      <c r="N376" s="3">
        <f>IF(G376="","",K376*(Settings!$C$9+Settings!$C$10))</f>
        <v/>
      </c>
      <c r="O376" s="3">
        <f>IF(G376="","",IF(F376="BUY",K376*Settings!$C$11,0))</f>
        <v/>
      </c>
      <c r="P376" s="3">
        <f>IF(G376="","",L376*Settings!$C$6)</f>
        <v/>
      </c>
      <c r="Q376" s="3">
        <f>IF(G376="","",IF(AND(F376="SELL",E376="Equity Delivery"),Settings!$C$13,0))</f>
        <v/>
      </c>
      <c r="R376" s="3">
        <f>IF(G376="","",SUM(L376:Q376))</f>
        <v/>
      </c>
      <c r="S376" s="3">
        <f>IF(G376="","",IF(F376="BUY",-(K376+R376),K376-R376))</f>
        <v/>
      </c>
    </row>
    <row r="377">
      <c r="A377">
        <f>IF(G377="","",ROW()-1)</f>
        <v/>
      </c>
      <c r="B377" s="6" t="n"/>
      <c r="G377" s="3" t="n"/>
      <c r="H377" s="3" t="n"/>
      <c r="K377" s="3">
        <f>IF(G377="","",G377*H377)</f>
        <v/>
      </c>
      <c r="L377" s="3">
        <f>IF(G377="","",Settings!$C$5)</f>
        <v/>
      </c>
      <c r="M377" s="3">
        <f>IF(G377="","",IF(F377="SELL",K377*IF(E377="Equity Intraday",Settings!$C$8,Settings!$C$7),0))</f>
        <v/>
      </c>
      <c r="N377" s="3">
        <f>IF(G377="","",K377*(Settings!$C$9+Settings!$C$10))</f>
        <v/>
      </c>
      <c r="O377" s="3">
        <f>IF(G377="","",IF(F377="BUY",K377*Settings!$C$11,0))</f>
        <v/>
      </c>
      <c r="P377" s="3">
        <f>IF(G377="","",L377*Settings!$C$6)</f>
        <v/>
      </c>
      <c r="Q377" s="3">
        <f>IF(G377="","",IF(AND(F377="SELL",E377="Equity Delivery"),Settings!$C$13,0))</f>
        <v/>
      </c>
      <c r="R377" s="3">
        <f>IF(G377="","",SUM(L377:Q377))</f>
        <v/>
      </c>
      <c r="S377" s="3">
        <f>IF(G377="","",IF(F377="BUY",-(K377+R377),K377-R377))</f>
        <v/>
      </c>
    </row>
    <row r="378">
      <c r="A378">
        <f>IF(G378="","",ROW()-1)</f>
        <v/>
      </c>
      <c r="B378" s="6" t="n"/>
      <c r="G378" s="3" t="n"/>
      <c r="H378" s="3" t="n"/>
      <c r="K378" s="3">
        <f>IF(G378="","",G378*H378)</f>
        <v/>
      </c>
      <c r="L378" s="3">
        <f>IF(G378="","",Settings!$C$5)</f>
        <v/>
      </c>
      <c r="M378" s="3">
        <f>IF(G378="","",IF(F378="SELL",K378*IF(E378="Equity Intraday",Settings!$C$8,Settings!$C$7),0))</f>
        <v/>
      </c>
      <c r="N378" s="3">
        <f>IF(G378="","",K378*(Settings!$C$9+Settings!$C$10))</f>
        <v/>
      </c>
      <c r="O378" s="3">
        <f>IF(G378="","",IF(F378="BUY",K378*Settings!$C$11,0))</f>
        <v/>
      </c>
      <c r="P378" s="3">
        <f>IF(G378="","",L378*Settings!$C$6)</f>
        <v/>
      </c>
      <c r="Q378" s="3">
        <f>IF(G378="","",IF(AND(F378="SELL",E378="Equity Delivery"),Settings!$C$13,0))</f>
        <v/>
      </c>
      <c r="R378" s="3">
        <f>IF(G378="","",SUM(L378:Q378))</f>
        <v/>
      </c>
      <c r="S378" s="3">
        <f>IF(G378="","",IF(F378="BUY",-(K378+R378),K378-R378))</f>
        <v/>
      </c>
    </row>
    <row r="379">
      <c r="A379">
        <f>IF(G379="","",ROW()-1)</f>
        <v/>
      </c>
      <c r="B379" s="6" t="n"/>
      <c r="G379" s="3" t="n"/>
      <c r="H379" s="3" t="n"/>
      <c r="K379" s="3">
        <f>IF(G379="","",G379*H379)</f>
        <v/>
      </c>
      <c r="L379" s="3">
        <f>IF(G379="","",Settings!$C$5)</f>
        <v/>
      </c>
      <c r="M379" s="3">
        <f>IF(G379="","",IF(F379="SELL",K379*IF(E379="Equity Intraday",Settings!$C$8,Settings!$C$7),0))</f>
        <v/>
      </c>
      <c r="N379" s="3">
        <f>IF(G379="","",K379*(Settings!$C$9+Settings!$C$10))</f>
        <v/>
      </c>
      <c r="O379" s="3">
        <f>IF(G379="","",IF(F379="BUY",K379*Settings!$C$11,0))</f>
        <v/>
      </c>
      <c r="P379" s="3">
        <f>IF(G379="","",L379*Settings!$C$6)</f>
        <v/>
      </c>
      <c r="Q379" s="3">
        <f>IF(G379="","",IF(AND(F379="SELL",E379="Equity Delivery"),Settings!$C$13,0))</f>
        <v/>
      </c>
      <c r="R379" s="3">
        <f>IF(G379="","",SUM(L379:Q379))</f>
        <v/>
      </c>
      <c r="S379" s="3">
        <f>IF(G379="","",IF(F379="BUY",-(K379+R379),K379-R379))</f>
        <v/>
      </c>
    </row>
    <row r="380">
      <c r="A380">
        <f>IF(G380="","",ROW()-1)</f>
        <v/>
      </c>
      <c r="B380" s="6" t="n"/>
      <c r="G380" s="3" t="n"/>
      <c r="H380" s="3" t="n"/>
      <c r="K380" s="3">
        <f>IF(G380="","",G380*H380)</f>
        <v/>
      </c>
      <c r="L380" s="3">
        <f>IF(G380="","",Settings!$C$5)</f>
        <v/>
      </c>
      <c r="M380" s="3">
        <f>IF(G380="","",IF(F380="SELL",K380*IF(E380="Equity Intraday",Settings!$C$8,Settings!$C$7),0))</f>
        <v/>
      </c>
      <c r="N380" s="3">
        <f>IF(G380="","",K380*(Settings!$C$9+Settings!$C$10))</f>
        <v/>
      </c>
      <c r="O380" s="3">
        <f>IF(G380="","",IF(F380="BUY",K380*Settings!$C$11,0))</f>
        <v/>
      </c>
      <c r="P380" s="3">
        <f>IF(G380="","",L380*Settings!$C$6)</f>
        <v/>
      </c>
      <c r="Q380" s="3">
        <f>IF(G380="","",IF(AND(F380="SELL",E380="Equity Delivery"),Settings!$C$13,0))</f>
        <v/>
      </c>
      <c r="R380" s="3">
        <f>IF(G380="","",SUM(L380:Q380))</f>
        <v/>
      </c>
      <c r="S380" s="3">
        <f>IF(G380="","",IF(F380="BUY",-(K380+R380),K380-R380))</f>
        <v/>
      </c>
    </row>
    <row r="381">
      <c r="A381">
        <f>IF(G381="","",ROW()-1)</f>
        <v/>
      </c>
      <c r="B381" s="6" t="n"/>
      <c r="G381" s="3" t="n"/>
      <c r="H381" s="3" t="n"/>
      <c r="K381" s="3">
        <f>IF(G381="","",G381*H381)</f>
        <v/>
      </c>
      <c r="L381" s="3">
        <f>IF(G381="","",Settings!$C$5)</f>
        <v/>
      </c>
      <c r="M381" s="3">
        <f>IF(G381="","",IF(F381="SELL",K381*IF(E381="Equity Intraday",Settings!$C$8,Settings!$C$7),0))</f>
        <v/>
      </c>
      <c r="N381" s="3">
        <f>IF(G381="","",K381*(Settings!$C$9+Settings!$C$10))</f>
        <v/>
      </c>
      <c r="O381" s="3">
        <f>IF(G381="","",IF(F381="BUY",K381*Settings!$C$11,0))</f>
        <v/>
      </c>
      <c r="P381" s="3">
        <f>IF(G381="","",L381*Settings!$C$6)</f>
        <v/>
      </c>
      <c r="Q381" s="3">
        <f>IF(G381="","",IF(AND(F381="SELL",E381="Equity Delivery"),Settings!$C$13,0))</f>
        <v/>
      </c>
      <c r="R381" s="3">
        <f>IF(G381="","",SUM(L381:Q381))</f>
        <v/>
      </c>
      <c r="S381" s="3">
        <f>IF(G381="","",IF(F381="BUY",-(K381+R381),K381-R381))</f>
        <v/>
      </c>
    </row>
    <row r="382">
      <c r="A382">
        <f>IF(G382="","",ROW()-1)</f>
        <v/>
      </c>
      <c r="B382" s="6" t="n"/>
      <c r="G382" s="3" t="n"/>
      <c r="H382" s="3" t="n"/>
      <c r="K382" s="3">
        <f>IF(G382="","",G382*H382)</f>
        <v/>
      </c>
      <c r="L382" s="3">
        <f>IF(G382="","",Settings!$C$5)</f>
        <v/>
      </c>
      <c r="M382" s="3">
        <f>IF(G382="","",IF(F382="SELL",K382*IF(E382="Equity Intraday",Settings!$C$8,Settings!$C$7),0))</f>
        <v/>
      </c>
      <c r="N382" s="3">
        <f>IF(G382="","",K382*(Settings!$C$9+Settings!$C$10))</f>
        <v/>
      </c>
      <c r="O382" s="3">
        <f>IF(G382="","",IF(F382="BUY",K382*Settings!$C$11,0))</f>
        <v/>
      </c>
      <c r="P382" s="3">
        <f>IF(G382="","",L382*Settings!$C$6)</f>
        <v/>
      </c>
      <c r="Q382" s="3">
        <f>IF(G382="","",IF(AND(F382="SELL",E382="Equity Delivery"),Settings!$C$13,0))</f>
        <v/>
      </c>
      <c r="R382" s="3">
        <f>IF(G382="","",SUM(L382:Q382))</f>
        <v/>
      </c>
      <c r="S382" s="3">
        <f>IF(G382="","",IF(F382="BUY",-(K382+R382),K382-R382))</f>
        <v/>
      </c>
    </row>
    <row r="383">
      <c r="A383">
        <f>IF(G383="","",ROW()-1)</f>
        <v/>
      </c>
      <c r="B383" s="6" t="n"/>
      <c r="G383" s="3" t="n"/>
      <c r="H383" s="3" t="n"/>
      <c r="K383" s="3">
        <f>IF(G383="","",G383*H383)</f>
        <v/>
      </c>
      <c r="L383" s="3">
        <f>IF(G383="","",Settings!$C$5)</f>
        <v/>
      </c>
      <c r="M383" s="3">
        <f>IF(G383="","",IF(F383="SELL",K383*IF(E383="Equity Intraday",Settings!$C$8,Settings!$C$7),0))</f>
        <v/>
      </c>
      <c r="N383" s="3">
        <f>IF(G383="","",K383*(Settings!$C$9+Settings!$C$10))</f>
        <v/>
      </c>
      <c r="O383" s="3">
        <f>IF(G383="","",IF(F383="BUY",K383*Settings!$C$11,0))</f>
        <v/>
      </c>
      <c r="P383" s="3">
        <f>IF(G383="","",L383*Settings!$C$6)</f>
        <v/>
      </c>
      <c r="Q383" s="3">
        <f>IF(G383="","",IF(AND(F383="SELL",E383="Equity Delivery"),Settings!$C$13,0))</f>
        <v/>
      </c>
      <c r="R383" s="3">
        <f>IF(G383="","",SUM(L383:Q383))</f>
        <v/>
      </c>
      <c r="S383" s="3">
        <f>IF(G383="","",IF(F383="BUY",-(K383+R383),K383-R383))</f>
        <v/>
      </c>
    </row>
    <row r="384">
      <c r="A384">
        <f>IF(G384="","",ROW()-1)</f>
        <v/>
      </c>
      <c r="B384" s="6" t="n"/>
      <c r="G384" s="3" t="n"/>
      <c r="H384" s="3" t="n"/>
      <c r="K384" s="3">
        <f>IF(G384="","",G384*H384)</f>
        <v/>
      </c>
      <c r="L384" s="3">
        <f>IF(G384="","",Settings!$C$5)</f>
        <v/>
      </c>
      <c r="M384" s="3">
        <f>IF(G384="","",IF(F384="SELL",K384*IF(E384="Equity Intraday",Settings!$C$8,Settings!$C$7),0))</f>
        <v/>
      </c>
      <c r="N384" s="3">
        <f>IF(G384="","",K384*(Settings!$C$9+Settings!$C$10))</f>
        <v/>
      </c>
      <c r="O384" s="3">
        <f>IF(G384="","",IF(F384="BUY",K384*Settings!$C$11,0))</f>
        <v/>
      </c>
      <c r="P384" s="3">
        <f>IF(G384="","",L384*Settings!$C$6)</f>
        <v/>
      </c>
      <c r="Q384" s="3">
        <f>IF(G384="","",IF(AND(F384="SELL",E384="Equity Delivery"),Settings!$C$13,0))</f>
        <v/>
      </c>
      <c r="R384" s="3">
        <f>IF(G384="","",SUM(L384:Q384))</f>
        <v/>
      </c>
      <c r="S384" s="3">
        <f>IF(G384="","",IF(F384="BUY",-(K384+R384),K384-R384))</f>
        <v/>
      </c>
    </row>
    <row r="385">
      <c r="A385">
        <f>IF(G385="","",ROW()-1)</f>
        <v/>
      </c>
      <c r="B385" s="6" t="n"/>
      <c r="G385" s="3" t="n"/>
      <c r="H385" s="3" t="n"/>
      <c r="K385" s="3">
        <f>IF(G385="","",G385*H385)</f>
        <v/>
      </c>
      <c r="L385" s="3">
        <f>IF(G385="","",Settings!$C$5)</f>
        <v/>
      </c>
      <c r="M385" s="3">
        <f>IF(G385="","",IF(F385="SELL",K385*IF(E385="Equity Intraday",Settings!$C$8,Settings!$C$7),0))</f>
        <v/>
      </c>
      <c r="N385" s="3">
        <f>IF(G385="","",K385*(Settings!$C$9+Settings!$C$10))</f>
        <v/>
      </c>
      <c r="O385" s="3">
        <f>IF(G385="","",IF(F385="BUY",K385*Settings!$C$11,0))</f>
        <v/>
      </c>
      <c r="P385" s="3">
        <f>IF(G385="","",L385*Settings!$C$6)</f>
        <v/>
      </c>
      <c r="Q385" s="3">
        <f>IF(G385="","",IF(AND(F385="SELL",E385="Equity Delivery"),Settings!$C$13,0))</f>
        <v/>
      </c>
      <c r="R385" s="3">
        <f>IF(G385="","",SUM(L385:Q385))</f>
        <v/>
      </c>
      <c r="S385" s="3">
        <f>IF(G385="","",IF(F385="BUY",-(K385+R385),K385-R385))</f>
        <v/>
      </c>
    </row>
    <row r="386">
      <c r="A386">
        <f>IF(G386="","",ROW()-1)</f>
        <v/>
      </c>
      <c r="B386" s="6" t="n"/>
      <c r="G386" s="3" t="n"/>
      <c r="H386" s="3" t="n"/>
      <c r="K386" s="3">
        <f>IF(G386="","",G386*H386)</f>
        <v/>
      </c>
      <c r="L386" s="3">
        <f>IF(G386="","",Settings!$C$5)</f>
        <v/>
      </c>
      <c r="M386" s="3">
        <f>IF(G386="","",IF(F386="SELL",K386*IF(E386="Equity Intraday",Settings!$C$8,Settings!$C$7),0))</f>
        <v/>
      </c>
      <c r="N386" s="3">
        <f>IF(G386="","",K386*(Settings!$C$9+Settings!$C$10))</f>
        <v/>
      </c>
      <c r="O386" s="3">
        <f>IF(G386="","",IF(F386="BUY",K386*Settings!$C$11,0))</f>
        <v/>
      </c>
      <c r="P386" s="3">
        <f>IF(G386="","",L386*Settings!$C$6)</f>
        <v/>
      </c>
      <c r="Q386" s="3">
        <f>IF(G386="","",IF(AND(F386="SELL",E386="Equity Delivery"),Settings!$C$13,0))</f>
        <v/>
      </c>
      <c r="R386" s="3">
        <f>IF(G386="","",SUM(L386:Q386))</f>
        <v/>
      </c>
      <c r="S386" s="3">
        <f>IF(G386="","",IF(F386="BUY",-(K386+R386),K386-R386))</f>
        <v/>
      </c>
    </row>
    <row r="387">
      <c r="A387">
        <f>IF(G387="","",ROW()-1)</f>
        <v/>
      </c>
      <c r="B387" s="6" t="n"/>
      <c r="G387" s="3" t="n"/>
      <c r="H387" s="3" t="n"/>
      <c r="K387" s="3">
        <f>IF(G387="","",G387*H387)</f>
        <v/>
      </c>
      <c r="L387" s="3">
        <f>IF(G387="","",Settings!$C$5)</f>
        <v/>
      </c>
      <c r="M387" s="3">
        <f>IF(G387="","",IF(F387="SELL",K387*IF(E387="Equity Intraday",Settings!$C$8,Settings!$C$7),0))</f>
        <v/>
      </c>
      <c r="N387" s="3">
        <f>IF(G387="","",K387*(Settings!$C$9+Settings!$C$10))</f>
        <v/>
      </c>
      <c r="O387" s="3">
        <f>IF(G387="","",IF(F387="BUY",K387*Settings!$C$11,0))</f>
        <v/>
      </c>
      <c r="P387" s="3">
        <f>IF(G387="","",L387*Settings!$C$6)</f>
        <v/>
      </c>
      <c r="Q387" s="3">
        <f>IF(G387="","",IF(AND(F387="SELL",E387="Equity Delivery"),Settings!$C$13,0))</f>
        <v/>
      </c>
      <c r="R387" s="3">
        <f>IF(G387="","",SUM(L387:Q387))</f>
        <v/>
      </c>
      <c r="S387" s="3">
        <f>IF(G387="","",IF(F387="BUY",-(K387+R387),K387-R387))</f>
        <v/>
      </c>
    </row>
    <row r="388">
      <c r="A388">
        <f>IF(G388="","",ROW()-1)</f>
        <v/>
      </c>
      <c r="B388" s="6" t="n"/>
      <c r="G388" s="3" t="n"/>
      <c r="H388" s="3" t="n"/>
      <c r="K388" s="3">
        <f>IF(G388="","",G388*H388)</f>
        <v/>
      </c>
      <c r="L388" s="3">
        <f>IF(G388="","",Settings!$C$5)</f>
        <v/>
      </c>
      <c r="M388" s="3">
        <f>IF(G388="","",IF(F388="SELL",K388*IF(E388="Equity Intraday",Settings!$C$8,Settings!$C$7),0))</f>
        <v/>
      </c>
      <c r="N388" s="3">
        <f>IF(G388="","",K388*(Settings!$C$9+Settings!$C$10))</f>
        <v/>
      </c>
      <c r="O388" s="3">
        <f>IF(G388="","",IF(F388="BUY",K388*Settings!$C$11,0))</f>
        <v/>
      </c>
      <c r="P388" s="3">
        <f>IF(G388="","",L388*Settings!$C$6)</f>
        <v/>
      </c>
      <c r="Q388" s="3">
        <f>IF(G388="","",IF(AND(F388="SELL",E388="Equity Delivery"),Settings!$C$13,0))</f>
        <v/>
      </c>
      <c r="R388" s="3">
        <f>IF(G388="","",SUM(L388:Q388))</f>
        <v/>
      </c>
      <c r="S388" s="3">
        <f>IF(G388="","",IF(F388="BUY",-(K388+R388),K388-R388))</f>
        <v/>
      </c>
    </row>
    <row r="389">
      <c r="A389">
        <f>IF(G389="","",ROW()-1)</f>
        <v/>
      </c>
      <c r="B389" s="6" t="n"/>
      <c r="G389" s="3" t="n"/>
      <c r="H389" s="3" t="n"/>
      <c r="K389" s="3">
        <f>IF(G389="","",G389*H389)</f>
        <v/>
      </c>
      <c r="L389" s="3">
        <f>IF(G389="","",Settings!$C$5)</f>
        <v/>
      </c>
      <c r="M389" s="3">
        <f>IF(G389="","",IF(F389="SELL",K389*IF(E389="Equity Intraday",Settings!$C$8,Settings!$C$7),0))</f>
        <v/>
      </c>
      <c r="N389" s="3">
        <f>IF(G389="","",K389*(Settings!$C$9+Settings!$C$10))</f>
        <v/>
      </c>
      <c r="O389" s="3">
        <f>IF(G389="","",IF(F389="BUY",K389*Settings!$C$11,0))</f>
        <v/>
      </c>
      <c r="P389" s="3">
        <f>IF(G389="","",L389*Settings!$C$6)</f>
        <v/>
      </c>
      <c r="Q389" s="3">
        <f>IF(G389="","",IF(AND(F389="SELL",E389="Equity Delivery"),Settings!$C$13,0))</f>
        <v/>
      </c>
      <c r="R389" s="3">
        <f>IF(G389="","",SUM(L389:Q389))</f>
        <v/>
      </c>
      <c r="S389" s="3">
        <f>IF(G389="","",IF(F389="BUY",-(K389+R389),K389-R389))</f>
        <v/>
      </c>
    </row>
    <row r="390">
      <c r="A390">
        <f>IF(G390="","",ROW()-1)</f>
        <v/>
      </c>
      <c r="B390" s="6" t="n"/>
      <c r="G390" s="3" t="n"/>
      <c r="H390" s="3" t="n"/>
      <c r="K390" s="3">
        <f>IF(G390="","",G390*H390)</f>
        <v/>
      </c>
      <c r="L390" s="3">
        <f>IF(G390="","",Settings!$C$5)</f>
        <v/>
      </c>
      <c r="M390" s="3">
        <f>IF(G390="","",IF(F390="SELL",K390*IF(E390="Equity Intraday",Settings!$C$8,Settings!$C$7),0))</f>
        <v/>
      </c>
      <c r="N390" s="3">
        <f>IF(G390="","",K390*(Settings!$C$9+Settings!$C$10))</f>
        <v/>
      </c>
      <c r="O390" s="3">
        <f>IF(G390="","",IF(F390="BUY",K390*Settings!$C$11,0))</f>
        <v/>
      </c>
      <c r="P390" s="3">
        <f>IF(G390="","",L390*Settings!$C$6)</f>
        <v/>
      </c>
      <c r="Q390" s="3">
        <f>IF(G390="","",IF(AND(F390="SELL",E390="Equity Delivery"),Settings!$C$13,0))</f>
        <v/>
      </c>
      <c r="R390" s="3">
        <f>IF(G390="","",SUM(L390:Q390))</f>
        <v/>
      </c>
      <c r="S390" s="3">
        <f>IF(G390="","",IF(F390="BUY",-(K390+R390),K390-R390))</f>
        <v/>
      </c>
    </row>
    <row r="391">
      <c r="A391">
        <f>IF(G391="","",ROW()-1)</f>
        <v/>
      </c>
      <c r="B391" s="6" t="n"/>
      <c r="G391" s="3" t="n"/>
      <c r="H391" s="3" t="n"/>
      <c r="K391" s="3">
        <f>IF(G391="","",G391*H391)</f>
        <v/>
      </c>
      <c r="L391" s="3">
        <f>IF(G391="","",Settings!$C$5)</f>
        <v/>
      </c>
      <c r="M391" s="3">
        <f>IF(G391="","",IF(F391="SELL",K391*IF(E391="Equity Intraday",Settings!$C$8,Settings!$C$7),0))</f>
        <v/>
      </c>
      <c r="N391" s="3">
        <f>IF(G391="","",K391*(Settings!$C$9+Settings!$C$10))</f>
        <v/>
      </c>
      <c r="O391" s="3">
        <f>IF(G391="","",IF(F391="BUY",K391*Settings!$C$11,0))</f>
        <v/>
      </c>
      <c r="P391" s="3">
        <f>IF(G391="","",L391*Settings!$C$6)</f>
        <v/>
      </c>
      <c r="Q391" s="3">
        <f>IF(G391="","",IF(AND(F391="SELL",E391="Equity Delivery"),Settings!$C$13,0))</f>
        <v/>
      </c>
      <c r="R391" s="3">
        <f>IF(G391="","",SUM(L391:Q391))</f>
        <v/>
      </c>
      <c r="S391" s="3">
        <f>IF(G391="","",IF(F391="BUY",-(K391+R391),K391-R391))</f>
        <v/>
      </c>
    </row>
    <row r="392">
      <c r="A392">
        <f>IF(G392="","",ROW()-1)</f>
        <v/>
      </c>
      <c r="B392" s="6" t="n"/>
      <c r="G392" s="3" t="n"/>
      <c r="H392" s="3" t="n"/>
      <c r="K392" s="3">
        <f>IF(G392="","",G392*H392)</f>
        <v/>
      </c>
      <c r="L392" s="3">
        <f>IF(G392="","",Settings!$C$5)</f>
        <v/>
      </c>
      <c r="M392" s="3">
        <f>IF(G392="","",IF(F392="SELL",K392*IF(E392="Equity Intraday",Settings!$C$8,Settings!$C$7),0))</f>
        <v/>
      </c>
      <c r="N392" s="3">
        <f>IF(G392="","",K392*(Settings!$C$9+Settings!$C$10))</f>
        <v/>
      </c>
      <c r="O392" s="3">
        <f>IF(G392="","",IF(F392="BUY",K392*Settings!$C$11,0))</f>
        <v/>
      </c>
      <c r="P392" s="3">
        <f>IF(G392="","",L392*Settings!$C$6)</f>
        <v/>
      </c>
      <c r="Q392" s="3">
        <f>IF(G392="","",IF(AND(F392="SELL",E392="Equity Delivery"),Settings!$C$13,0))</f>
        <v/>
      </c>
      <c r="R392" s="3">
        <f>IF(G392="","",SUM(L392:Q392))</f>
        <v/>
      </c>
      <c r="S392" s="3">
        <f>IF(G392="","",IF(F392="BUY",-(K392+R392),K392-R392))</f>
        <v/>
      </c>
    </row>
    <row r="393">
      <c r="A393">
        <f>IF(G393="","",ROW()-1)</f>
        <v/>
      </c>
      <c r="B393" s="6" t="n"/>
      <c r="G393" s="3" t="n"/>
      <c r="H393" s="3" t="n"/>
      <c r="K393" s="3">
        <f>IF(G393="","",G393*H393)</f>
        <v/>
      </c>
      <c r="L393" s="3">
        <f>IF(G393="","",Settings!$C$5)</f>
        <v/>
      </c>
      <c r="M393" s="3">
        <f>IF(G393="","",IF(F393="SELL",K393*IF(E393="Equity Intraday",Settings!$C$8,Settings!$C$7),0))</f>
        <v/>
      </c>
      <c r="N393" s="3">
        <f>IF(G393="","",K393*(Settings!$C$9+Settings!$C$10))</f>
        <v/>
      </c>
      <c r="O393" s="3">
        <f>IF(G393="","",IF(F393="BUY",K393*Settings!$C$11,0))</f>
        <v/>
      </c>
      <c r="P393" s="3">
        <f>IF(G393="","",L393*Settings!$C$6)</f>
        <v/>
      </c>
      <c r="Q393" s="3">
        <f>IF(G393="","",IF(AND(F393="SELL",E393="Equity Delivery"),Settings!$C$13,0))</f>
        <v/>
      </c>
      <c r="R393" s="3">
        <f>IF(G393="","",SUM(L393:Q393))</f>
        <v/>
      </c>
      <c r="S393" s="3">
        <f>IF(G393="","",IF(F393="BUY",-(K393+R393),K393-R393))</f>
        <v/>
      </c>
    </row>
    <row r="394">
      <c r="A394">
        <f>IF(G394="","",ROW()-1)</f>
        <v/>
      </c>
      <c r="B394" s="6" t="n"/>
      <c r="G394" s="3" t="n"/>
      <c r="H394" s="3" t="n"/>
      <c r="K394" s="3">
        <f>IF(G394="","",G394*H394)</f>
        <v/>
      </c>
      <c r="L394" s="3">
        <f>IF(G394="","",Settings!$C$5)</f>
        <v/>
      </c>
      <c r="M394" s="3">
        <f>IF(G394="","",IF(F394="SELL",K394*IF(E394="Equity Intraday",Settings!$C$8,Settings!$C$7),0))</f>
        <v/>
      </c>
      <c r="N394" s="3">
        <f>IF(G394="","",K394*(Settings!$C$9+Settings!$C$10))</f>
        <v/>
      </c>
      <c r="O394" s="3">
        <f>IF(G394="","",IF(F394="BUY",K394*Settings!$C$11,0))</f>
        <v/>
      </c>
      <c r="P394" s="3">
        <f>IF(G394="","",L394*Settings!$C$6)</f>
        <v/>
      </c>
      <c r="Q394" s="3">
        <f>IF(G394="","",IF(AND(F394="SELL",E394="Equity Delivery"),Settings!$C$13,0))</f>
        <v/>
      </c>
      <c r="R394" s="3">
        <f>IF(G394="","",SUM(L394:Q394))</f>
        <v/>
      </c>
      <c r="S394" s="3">
        <f>IF(G394="","",IF(F394="BUY",-(K394+R394),K394-R394))</f>
        <v/>
      </c>
    </row>
    <row r="395">
      <c r="A395">
        <f>IF(G395="","",ROW()-1)</f>
        <v/>
      </c>
      <c r="B395" s="6" t="n"/>
      <c r="G395" s="3" t="n"/>
      <c r="H395" s="3" t="n"/>
      <c r="K395" s="3">
        <f>IF(G395="","",G395*H395)</f>
        <v/>
      </c>
      <c r="L395" s="3">
        <f>IF(G395="","",Settings!$C$5)</f>
        <v/>
      </c>
      <c r="M395" s="3">
        <f>IF(G395="","",IF(F395="SELL",K395*IF(E395="Equity Intraday",Settings!$C$8,Settings!$C$7),0))</f>
        <v/>
      </c>
      <c r="N395" s="3">
        <f>IF(G395="","",K395*(Settings!$C$9+Settings!$C$10))</f>
        <v/>
      </c>
      <c r="O395" s="3">
        <f>IF(G395="","",IF(F395="BUY",K395*Settings!$C$11,0))</f>
        <v/>
      </c>
      <c r="P395" s="3">
        <f>IF(G395="","",L395*Settings!$C$6)</f>
        <v/>
      </c>
      <c r="Q395" s="3">
        <f>IF(G395="","",IF(AND(F395="SELL",E395="Equity Delivery"),Settings!$C$13,0))</f>
        <v/>
      </c>
      <c r="R395" s="3">
        <f>IF(G395="","",SUM(L395:Q395))</f>
        <v/>
      </c>
      <c r="S395" s="3">
        <f>IF(G395="","",IF(F395="BUY",-(K395+R395),K395-R395))</f>
        <v/>
      </c>
    </row>
    <row r="396">
      <c r="A396">
        <f>IF(G396="","",ROW()-1)</f>
        <v/>
      </c>
      <c r="B396" s="6" t="n"/>
      <c r="G396" s="3" t="n"/>
      <c r="H396" s="3" t="n"/>
      <c r="K396" s="3">
        <f>IF(G396="","",G396*H396)</f>
        <v/>
      </c>
      <c r="L396" s="3">
        <f>IF(G396="","",Settings!$C$5)</f>
        <v/>
      </c>
      <c r="M396" s="3">
        <f>IF(G396="","",IF(F396="SELL",K396*IF(E396="Equity Intraday",Settings!$C$8,Settings!$C$7),0))</f>
        <v/>
      </c>
      <c r="N396" s="3">
        <f>IF(G396="","",K396*(Settings!$C$9+Settings!$C$10))</f>
        <v/>
      </c>
      <c r="O396" s="3">
        <f>IF(G396="","",IF(F396="BUY",K396*Settings!$C$11,0))</f>
        <v/>
      </c>
      <c r="P396" s="3">
        <f>IF(G396="","",L396*Settings!$C$6)</f>
        <v/>
      </c>
      <c r="Q396" s="3">
        <f>IF(G396="","",IF(AND(F396="SELL",E396="Equity Delivery"),Settings!$C$13,0))</f>
        <v/>
      </c>
      <c r="R396" s="3">
        <f>IF(G396="","",SUM(L396:Q396))</f>
        <v/>
      </c>
      <c r="S396" s="3">
        <f>IF(G396="","",IF(F396="BUY",-(K396+R396),K396-R396))</f>
        <v/>
      </c>
    </row>
    <row r="397">
      <c r="A397">
        <f>IF(G397="","",ROW()-1)</f>
        <v/>
      </c>
      <c r="B397" s="6" t="n"/>
      <c r="G397" s="3" t="n"/>
      <c r="H397" s="3" t="n"/>
      <c r="K397" s="3">
        <f>IF(G397="","",G397*H397)</f>
        <v/>
      </c>
      <c r="L397" s="3">
        <f>IF(G397="","",Settings!$C$5)</f>
        <v/>
      </c>
      <c r="M397" s="3">
        <f>IF(G397="","",IF(F397="SELL",K397*IF(E397="Equity Intraday",Settings!$C$8,Settings!$C$7),0))</f>
        <v/>
      </c>
      <c r="N397" s="3">
        <f>IF(G397="","",K397*(Settings!$C$9+Settings!$C$10))</f>
        <v/>
      </c>
      <c r="O397" s="3">
        <f>IF(G397="","",IF(F397="BUY",K397*Settings!$C$11,0))</f>
        <v/>
      </c>
      <c r="P397" s="3">
        <f>IF(G397="","",L397*Settings!$C$6)</f>
        <v/>
      </c>
      <c r="Q397" s="3">
        <f>IF(G397="","",IF(AND(F397="SELL",E397="Equity Delivery"),Settings!$C$13,0))</f>
        <v/>
      </c>
      <c r="R397" s="3">
        <f>IF(G397="","",SUM(L397:Q397))</f>
        <v/>
      </c>
      <c r="S397" s="3">
        <f>IF(G397="","",IF(F397="BUY",-(K397+R397),K397-R397))</f>
        <v/>
      </c>
    </row>
    <row r="398">
      <c r="A398">
        <f>IF(G398="","",ROW()-1)</f>
        <v/>
      </c>
      <c r="B398" s="6" t="n"/>
      <c r="G398" s="3" t="n"/>
      <c r="H398" s="3" t="n"/>
      <c r="K398" s="3">
        <f>IF(G398="","",G398*H398)</f>
        <v/>
      </c>
      <c r="L398" s="3">
        <f>IF(G398="","",Settings!$C$5)</f>
        <v/>
      </c>
      <c r="M398" s="3">
        <f>IF(G398="","",IF(F398="SELL",K398*IF(E398="Equity Intraday",Settings!$C$8,Settings!$C$7),0))</f>
        <v/>
      </c>
      <c r="N398" s="3">
        <f>IF(G398="","",K398*(Settings!$C$9+Settings!$C$10))</f>
        <v/>
      </c>
      <c r="O398" s="3">
        <f>IF(G398="","",IF(F398="BUY",K398*Settings!$C$11,0))</f>
        <v/>
      </c>
      <c r="P398" s="3">
        <f>IF(G398="","",L398*Settings!$C$6)</f>
        <v/>
      </c>
      <c r="Q398" s="3">
        <f>IF(G398="","",IF(AND(F398="SELL",E398="Equity Delivery"),Settings!$C$13,0))</f>
        <v/>
      </c>
      <c r="R398" s="3">
        <f>IF(G398="","",SUM(L398:Q398))</f>
        <v/>
      </c>
      <c r="S398" s="3">
        <f>IF(G398="","",IF(F398="BUY",-(K398+R398),K398-R398))</f>
        <v/>
      </c>
    </row>
    <row r="399">
      <c r="A399">
        <f>IF(G399="","",ROW()-1)</f>
        <v/>
      </c>
      <c r="B399" s="6" t="n"/>
      <c r="G399" s="3" t="n"/>
      <c r="H399" s="3" t="n"/>
      <c r="K399" s="3">
        <f>IF(G399="","",G399*H399)</f>
        <v/>
      </c>
      <c r="L399" s="3">
        <f>IF(G399="","",Settings!$C$5)</f>
        <v/>
      </c>
      <c r="M399" s="3">
        <f>IF(G399="","",IF(F399="SELL",K399*IF(E399="Equity Intraday",Settings!$C$8,Settings!$C$7),0))</f>
        <v/>
      </c>
      <c r="N399" s="3">
        <f>IF(G399="","",K399*(Settings!$C$9+Settings!$C$10))</f>
        <v/>
      </c>
      <c r="O399" s="3">
        <f>IF(G399="","",IF(F399="BUY",K399*Settings!$C$11,0))</f>
        <v/>
      </c>
      <c r="P399" s="3">
        <f>IF(G399="","",L399*Settings!$C$6)</f>
        <v/>
      </c>
      <c r="Q399" s="3">
        <f>IF(G399="","",IF(AND(F399="SELL",E399="Equity Delivery"),Settings!$C$13,0))</f>
        <v/>
      </c>
      <c r="R399" s="3">
        <f>IF(G399="","",SUM(L399:Q399))</f>
        <v/>
      </c>
      <c r="S399" s="3">
        <f>IF(G399="","",IF(F399="BUY",-(K399+R399),K399-R399))</f>
        <v/>
      </c>
    </row>
    <row r="400">
      <c r="A400">
        <f>IF(G400="","",ROW()-1)</f>
        <v/>
      </c>
      <c r="B400" s="6" t="n"/>
      <c r="G400" s="3" t="n"/>
      <c r="H400" s="3" t="n"/>
      <c r="K400" s="3">
        <f>IF(G400="","",G400*H400)</f>
        <v/>
      </c>
      <c r="L400" s="3">
        <f>IF(G400="","",Settings!$C$5)</f>
        <v/>
      </c>
      <c r="M400" s="3">
        <f>IF(G400="","",IF(F400="SELL",K400*IF(E400="Equity Intraday",Settings!$C$8,Settings!$C$7),0))</f>
        <v/>
      </c>
      <c r="N400" s="3">
        <f>IF(G400="","",K400*(Settings!$C$9+Settings!$C$10))</f>
        <v/>
      </c>
      <c r="O400" s="3">
        <f>IF(G400="","",IF(F400="BUY",K400*Settings!$C$11,0))</f>
        <v/>
      </c>
      <c r="P400" s="3">
        <f>IF(G400="","",L400*Settings!$C$6)</f>
        <v/>
      </c>
      <c r="Q400" s="3">
        <f>IF(G400="","",IF(AND(F400="SELL",E400="Equity Delivery"),Settings!$C$13,0))</f>
        <v/>
      </c>
      <c r="R400" s="3">
        <f>IF(G400="","",SUM(L400:Q400))</f>
        <v/>
      </c>
      <c r="S400" s="3">
        <f>IF(G400="","",IF(F400="BUY",-(K400+R400),K400-R400))</f>
        <v/>
      </c>
    </row>
    <row r="401">
      <c r="A401">
        <f>IF(G401="","",ROW()-1)</f>
        <v/>
      </c>
      <c r="B401" s="6" t="n"/>
      <c r="G401" s="3" t="n"/>
      <c r="H401" s="3" t="n"/>
      <c r="K401" s="3">
        <f>IF(G401="","",G401*H401)</f>
        <v/>
      </c>
      <c r="L401" s="3">
        <f>IF(G401="","",Settings!$C$5)</f>
        <v/>
      </c>
      <c r="M401" s="3">
        <f>IF(G401="","",IF(F401="SELL",K401*IF(E401="Equity Intraday",Settings!$C$8,Settings!$C$7),0))</f>
        <v/>
      </c>
      <c r="N401" s="3">
        <f>IF(G401="","",K401*(Settings!$C$9+Settings!$C$10))</f>
        <v/>
      </c>
      <c r="O401" s="3">
        <f>IF(G401="","",IF(F401="BUY",K401*Settings!$C$11,0))</f>
        <v/>
      </c>
      <c r="P401" s="3">
        <f>IF(G401="","",L401*Settings!$C$6)</f>
        <v/>
      </c>
      <c r="Q401" s="3">
        <f>IF(G401="","",IF(AND(F401="SELL",E401="Equity Delivery"),Settings!$C$13,0))</f>
        <v/>
      </c>
      <c r="R401" s="3">
        <f>IF(G401="","",SUM(L401:Q401))</f>
        <v/>
      </c>
      <c r="S401" s="3">
        <f>IF(G401="","",IF(F401="BUY",-(K401+R401),K401-R401))</f>
        <v/>
      </c>
    </row>
    <row r="402">
      <c r="A402">
        <f>IF(G402="","",ROW()-1)</f>
        <v/>
      </c>
      <c r="B402" s="6" t="n"/>
      <c r="G402" s="3" t="n"/>
      <c r="H402" s="3" t="n"/>
      <c r="K402" s="3">
        <f>IF(G402="","",G402*H402)</f>
        <v/>
      </c>
      <c r="L402" s="3">
        <f>IF(G402="","",Settings!$C$5)</f>
        <v/>
      </c>
      <c r="M402" s="3">
        <f>IF(G402="","",IF(F402="SELL",K402*IF(E402="Equity Intraday",Settings!$C$8,Settings!$C$7),0))</f>
        <v/>
      </c>
      <c r="N402" s="3">
        <f>IF(G402="","",K402*(Settings!$C$9+Settings!$C$10))</f>
        <v/>
      </c>
      <c r="O402" s="3">
        <f>IF(G402="","",IF(F402="BUY",K402*Settings!$C$11,0))</f>
        <v/>
      </c>
      <c r="P402" s="3">
        <f>IF(G402="","",L402*Settings!$C$6)</f>
        <v/>
      </c>
      <c r="Q402" s="3">
        <f>IF(G402="","",IF(AND(F402="SELL",E402="Equity Delivery"),Settings!$C$13,0))</f>
        <v/>
      </c>
      <c r="R402" s="3">
        <f>IF(G402="","",SUM(L402:Q402))</f>
        <v/>
      </c>
      <c r="S402" s="3">
        <f>IF(G402="","",IF(F402="BUY",-(K402+R402),K402-R402))</f>
        <v/>
      </c>
    </row>
    <row r="403">
      <c r="A403">
        <f>IF(G403="","",ROW()-1)</f>
        <v/>
      </c>
      <c r="B403" s="6" t="n"/>
      <c r="G403" s="3" t="n"/>
      <c r="H403" s="3" t="n"/>
      <c r="K403" s="3">
        <f>IF(G403="","",G403*H403)</f>
        <v/>
      </c>
      <c r="L403" s="3">
        <f>IF(G403="","",Settings!$C$5)</f>
        <v/>
      </c>
      <c r="M403" s="3">
        <f>IF(G403="","",IF(F403="SELL",K403*IF(E403="Equity Intraday",Settings!$C$8,Settings!$C$7),0))</f>
        <v/>
      </c>
      <c r="N403" s="3">
        <f>IF(G403="","",K403*(Settings!$C$9+Settings!$C$10))</f>
        <v/>
      </c>
      <c r="O403" s="3">
        <f>IF(G403="","",IF(F403="BUY",K403*Settings!$C$11,0))</f>
        <v/>
      </c>
      <c r="P403" s="3">
        <f>IF(G403="","",L403*Settings!$C$6)</f>
        <v/>
      </c>
      <c r="Q403" s="3">
        <f>IF(G403="","",IF(AND(F403="SELL",E403="Equity Delivery"),Settings!$C$13,0))</f>
        <v/>
      </c>
      <c r="R403" s="3">
        <f>IF(G403="","",SUM(L403:Q403))</f>
        <v/>
      </c>
      <c r="S403" s="3">
        <f>IF(G403="","",IF(F403="BUY",-(K403+R403),K403-R403))</f>
        <v/>
      </c>
    </row>
    <row r="404">
      <c r="A404">
        <f>IF(G404="","",ROW()-1)</f>
        <v/>
      </c>
      <c r="B404" s="6" t="n"/>
      <c r="G404" s="3" t="n"/>
      <c r="H404" s="3" t="n"/>
      <c r="K404" s="3">
        <f>IF(G404="","",G404*H404)</f>
        <v/>
      </c>
      <c r="L404" s="3">
        <f>IF(G404="","",Settings!$C$5)</f>
        <v/>
      </c>
      <c r="M404" s="3">
        <f>IF(G404="","",IF(F404="SELL",K404*IF(E404="Equity Intraday",Settings!$C$8,Settings!$C$7),0))</f>
        <v/>
      </c>
      <c r="N404" s="3">
        <f>IF(G404="","",K404*(Settings!$C$9+Settings!$C$10))</f>
        <v/>
      </c>
      <c r="O404" s="3">
        <f>IF(G404="","",IF(F404="BUY",K404*Settings!$C$11,0))</f>
        <v/>
      </c>
      <c r="P404" s="3">
        <f>IF(G404="","",L404*Settings!$C$6)</f>
        <v/>
      </c>
      <c r="Q404" s="3">
        <f>IF(G404="","",IF(AND(F404="SELL",E404="Equity Delivery"),Settings!$C$13,0))</f>
        <v/>
      </c>
      <c r="R404" s="3">
        <f>IF(G404="","",SUM(L404:Q404))</f>
        <v/>
      </c>
      <c r="S404" s="3">
        <f>IF(G404="","",IF(F404="BUY",-(K404+R404),K404-R404))</f>
        <v/>
      </c>
    </row>
    <row r="405">
      <c r="A405">
        <f>IF(G405="","",ROW()-1)</f>
        <v/>
      </c>
      <c r="B405" s="6" t="n"/>
      <c r="G405" s="3" t="n"/>
      <c r="H405" s="3" t="n"/>
      <c r="K405" s="3">
        <f>IF(G405="","",G405*H405)</f>
        <v/>
      </c>
      <c r="L405" s="3">
        <f>IF(G405="","",Settings!$C$5)</f>
        <v/>
      </c>
      <c r="M405" s="3">
        <f>IF(G405="","",IF(F405="SELL",K405*IF(E405="Equity Intraday",Settings!$C$8,Settings!$C$7),0))</f>
        <v/>
      </c>
      <c r="N405" s="3">
        <f>IF(G405="","",K405*(Settings!$C$9+Settings!$C$10))</f>
        <v/>
      </c>
      <c r="O405" s="3">
        <f>IF(G405="","",IF(F405="BUY",K405*Settings!$C$11,0))</f>
        <v/>
      </c>
      <c r="P405" s="3">
        <f>IF(G405="","",L405*Settings!$C$6)</f>
        <v/>
      </c>
      <c r="Q405" s="3">
        <f>IF(G405="","",IF(AND(F405="SELL",E405="Equity Delivery"),Settings!$C$13,0))</f>
        <v/>
      </c>
      <c r="R405" s="3">
        <f>IF(G405="","",SUM(L405:Q405))</f>
        <v/>
      </c>
      <c r="S405" s="3">
        <f>IF(G405="","",IF(F405="BUY",-(K405+R405),K405-R405))</f>
        <v/>
      </c>
    </row>
    <row r="406">
      <c r="A406">
        <f>IF(G406="","",ROW()-1)</f>
        <v/>
      </c>
      <c r="B406" s="6" t="n"/>
      <c r="G406" s="3" t="n"/>
      <c r="H406" s="3" t="n"/>
      <c r="K406" s="3">
        <f>IF(G406="","",G406*H406)</f>
        <v/>
      </c>
      <c r="L406" s="3">
        <f>IF(G406="","",Settings!$C$5)</f>
        <v/>
      </c>
      <c r="M406" s="3">
        <f>IF(G406="","",IF(F406="SELL",K406*IF(E406="Equity Intraday",Settings!$C$8,Settings!$C$7),0))</f>
        <v/>
      </c>
      <c r="N406" s="3">
        <f>IF(G406="","",K406*(Settings!$C$9+Settings!$C$10))</f>
        <v/>
      </c>
      <c r="O406" s="3">
        <f>IF(G406="","",IF(F406="BUY",K406*Settings!$C$11,0))</f>
        <v/>
      </c>
      <c r="P406" s="3">
        <f>IF(G406="","",L406*Settings!$C$6)</f>
        <v/>
      </c>
      <c r="Q406" s="3">
        <f>IF(G406="","",IF(AND(F406="SELL",E406="Equity Delivery"),Settings!$C$13,0))</f>
        <v/>
      </c>
      <c r="R406" s="3">
        <f>IF(G406="","",SUM(L406:Q406))</f>
        <v/>
      </c>
      <c r="S406" s="3">
        <f>IF(G406="","",IF(F406="BUY",-(K406+R406),K406-R406))</f>
        <v/>
      </c>
    </row>
    <row r="407">
      <c r="A407">
        <f>IF(G407="","",ROW()-1)</f>
        <v/>
      </c>
      <c r="B407" s="6" t="n"/>
      <c r="G407" s="3" t="n"/>
      <c r="H407" s="3" t="n"/>
      <c r="K407" s="3">
        <f>IF(G407="","",G407*H407)</f>
        <v/>
      </c>
      <c r="L407" s="3">
        <f>IF(G407="","",Settings!$C$5)</f>
        <v/>
      </c>
      <c r="M407" s="3">
        <f>IF(G407="","",IF(F407="SELL",K407*IF(E407="Equity Intraday",Settings!$C$8,Settings!$C$7),0))</f>
        <v/>
      </c>
      <c r="N407" s="3">
        <f>IF(G407="","",K407*(Settings!$C$9+Settings!$C$10))</f>
        <v/>
      </c>
      <c r="O407" s="3">
        <f>IF(G407="","",IF(F407="BUY",K407*Settings!$C$11,0))</f>
        <v/>
      </c>
      <c r="P407" s="3">
        <f>IF(G407="","",L407*Settings!$C$6)</f>
        <v/>
      </c>
      <c r="Q407" s="3">
        <f>IF(G407="","",IF(AND(F407="SELL",E407="Equity Delivery"),Settings!$C$13,0))</f>
        <v/>
      </c>
      <c r="R407" s="3">
        <f>IF(G407="","",SUM(L407:Q407))</f>
        <v/>
      </c>
      <c r="S407" s="3">
        <f>IF(G407="","",IF(F407="BUY",-(K407+R407),K407-R407))</f>
        <v/>
      </c>
    </row>
    <row r="408">
      <c r="A408">
        <f>IF(G408="","",ROW()-1)</f>
        <v/>
      </c>
      <c r="B408" s="6" t="n"/>
      <c r="G408" s="3" t="n"/>
      <c r="H408" s="3" t="n"/>
      <c r="K408" s="3">
        <f>IF(G408="","",G408*H408)</f>
        <v/>
      </c>
      <c r="L408" s="3">
        <f>IF(G408="","",Settings!$C$5)</f>
        <v/>
      </c>
      <c r="M408" s="3">
        <f>IF(G408="","",IF(F408="SELL",K408*IF(E408="Equity Intraday",Settings!$C$8,Settings!$C$7),0))</f>
        <v/>
      </c>
      <c r="N408" s="3">
        <f>IF(G408="","",K408*(Settings!$C$9+Settings!$C$10))</f>
        <v/>
      </c>
      <c r="O408" s="3">
        <f>IF(G408="","",IF(F408="BUY",K408*Settings!$C$11,0))</f>
        <v/>
      </c>
      <c r="P408" s="3">
        <f>IF(G408="","",L408*Settings!$C$6)</f>
        <v/>
      </c>
      <c r="Q408" s="3">
        <f>IF(G408="","",IF(AND(F408="SELL",E408="Equity Delivery"),Settings!$C$13,0))</f>
        <v/>
      </c>
      <c r="R408" s="3">
        <f>IF(G408="","",SUM(L408:Q408))</f>
        <v/>
      </c>
      <c r="S408" s="3">
        <f>IF(G408="","",IF(F408="BUY",-(K408+R408),K408-R408))</f>
        <v/>
      </c>
    </row>
    <row r="409">
      <c r="A409">
        <f>IF(G409="","",ROW()-1)</f>
        <v/>
      </c>
      <c r="B409" s="6" t="n"/>
      <c r="G409" s="3" t="n"/>
      <c r="H409" s="3" t="n"/>
      <c r="K409" s="3">
        <f>IF(G409="","",G409*H409)</f>
        <v/>
      </c>
      <c r="L409" s="3">
        <f>IF(G409="","",Settings!$C$5)</f>
        <v/>
      </c>
      <c r="M409" s="3">
        <f>IF(G409="","",IF(F409="SELL",K409*IF(E409="Equity Intraday",Settings!$C$8,Settings!$C$7),0))</f>
        <v/>
      </c>
      <c r="N409" s="3">
        <f>IF(G409="","",K409*(Settings!$C$9+Settings!$C$10))</f>
        <v/>
      </c>
      <c r="O409" s="3">
        <f>IF(G409="","",IF(F409="BUY",K409*Settings!$C$11,0))</f>
        <v/>
      </c>
      <c r="P409" s="3">
        <f>IF(G409="","",L409*Settings!$C$6)</f>
        <v/>
      </c>
      <c r="Q409" s="3">
        <f>IF(G409="","",IF(AND(F409="SELL",E409="Equity Delivery"),Settings!$C$13,0))</f>
        <v/>
      </c>
      <c r="R409" s="3">
        <f>IF(G409="","",SUM(L409:Q409))</f>
        <v/>
      </c>
      <c r="S409" s="3">
        <f>IF(G409="","",IF(F409="BUY",-(K409+R409),K409-R409))</f>
        <v/>
      </c>
    </row>
    <row r="410">
      <c r="A410">
        <f>IF(G410="","",ROW()-1)</f>
        <v/>
      </c>
      <c r="B410" s="6" t="n"/>
      <c r="G410" s="3" t="n"/>
      <c r="H410" s="3" t="n"/>
      <c r="K410" s="3">
        <f>IF(G410="","",G410*H410)</f>
        <v/>
      </c>
      <c r="L410" s="3">
        <f>IF(G410="","",Settings!$C$5)</f>
        <v/>
      </c>
      <c r="M410" s="3">
        <f>IF(G410="","",IF(F410="SELL",K410*IF(E410="Equity Intraday",Settings!$C$8,Settings!$C$7),0))</f>
        <v/>
      </c>
      <c r="N410" s="3">
        <f>IF(G410="","",K410*(Settings!$C$9+Settings!$C$10))</f>
        <v/>
      </c>
      <c r="O410" s="3">
        <f>IF(G410="","",IF(F410="BUY",K410*Settings!$C$11,0))</f>
        <v/>
      </c>
      <c r="P410" s="3">
        <f>IF(G410="","",L410*Settings!$C$6)</f>
        <v/>
      </c>
      <c r="Q410" s="3">
        <f>IF(G410="","",IF(AND(F410="SELL",E410="Equity Delivery"),Settings!$C$13,0))</f>
        <v/>
      </c>
      <c r="R410" s="3">
        <f>IF(G410="","",SUM(L410:Q410))</f>
        <v/>
      </c>
      <c r="S410" s="3">
        <f>IF(G410="","",IF(F410="BUY",-(K410+R410),K410-R410))</f>
        <v/>
      </c>
    </row>
    <row r="411">
      <c r="A411">
        <f>IF(G411="","",ROW()-1)</f>
        <v/>
      </c>
      <c r="B411" s="6" t="n"/>
      <c r="G411" s="3" t="n"/>
      <c r="H411" s="3" t="n"/>
      <c r="K411" s="3">
        <f>IF(G411="","",G411*H411)</f>
        <v/>
      </c>
      <c r="L411" s="3">
        <f>IF(G411="","",Settings!$C$5)</f>
        <v/>
      </c>
      <c r="M411" s="3">
        <f>IF(G411="","",IF(F411="SELL",K411*IF(E411="Equity Intraday",Settings!$C$8,Settings!$C$7),0))</f>
        <v/>
      </c>
      <c r="N411" s="3">
        <f>IF(G411="","",K411*(Settings!$C$9+Settings!$C$10))</f>
        <v/>
      </c>
      <c r="O411" s="3">
        <f>IF(G411="","",IF(F411="BUY",K411*Settings!$C$11,0))</f>
        <v/>
      </c>
      <c r="P411" s="3">
        <f>IF(G411="","",L411*Settings!$C$6)</f>
        <v/>
      </c>
      <c r="Q411" s="3">
        <f>IF(G411="","",IF(AND(F411="SELL",E411="Equity Delivery"),Settings!$C$13,0))</f>
        <v/>
      </c>
      <c r="R411" s="3">
        <f>IF(G411="","",SUM(L411:Q411))</f>
        <v/>
      </c>
      <c r="S411" s="3">
        <f>IF(G411="","",IF(F411="BUY",-(K411+R411),K411-R411))</f>
        <v/>
      </c>
    </row>
    <row r="412">
      <c r="A412">
        <f>IF(G412="","",ROW()-1)</f>
        <v/>
      </c>
      <c r="B412" s="6" t="n"/>
      <c r="G412" s="3" t="n"/>
      <c r="H412" s="3" t="n"/>
      <c r="K412" s="3">
        <f>IF(G412="","",G412*H412)</f>
        <v/>
      </c>
      <c r="L412" s="3">
        <f>IF(G412="","",Settings!$C$5)</f>
        <v/>
      </c>
      <c r="M412" s="3">
        <f>IF(G412="","",IF(F412="SELL",K412*IF(E412="Equity Intraday",Settings!$C$8,Settings!$C$7),0))</f>
        <v/>
      </c>
      <c r="N412" s="3">
        <f>IF(G412="","",K412*(Settings!$C$9+Settings!$C$10))</f>
        <v/>
      </c>
      <c r="O412" s="3">
        <f>IF(G412="","",IF(F412="BUY",K412*Settings!$C$11,0))</f>
        <v/>
      </c>
      <c r="P412" s="3">
        <f>IF(G412="","",L412*Settings!$C$6)</f>
        <v/>
      </c>
      <c r="Q412" s="3">
        <f>IF(G412="","",IF(AND(F412="SELL",E412="Equity Delivery"),Settings!$C$13,0))</f>
        <v/>
      </c>
      <c r="R412" s="3">
        <f>IF(G412="","",SUM(L412:Q412))</f>
        <v/>
      </c>
      <c r="S412" s="3">
        <f>IF(G412="","",IF(F412="BUY",-(K412+R412),K412-R412))</f>
        <v/>
      </c>
    </row>
    <row r="413">
      <c r="A413">
        <f>IF(G413="","",ROW()-1)</f>
        <v/>
      </c>
      <c r="B413" s="6" t="n"/>
      <c r="G413" s="3" t="n"/>
      <c r="H413" s="3" t="n"/>
      <c r="K413" s="3">
        <f>IF(G413="","",G413*H413)</f>
        <v/>
      </c>
      <c r="L413" s="3">
        <f>IF(G413="","",Settings!$C$5)</f>
        <v/>
      </c>
      <c r="M413" s="3">
        <f>IF(G413="","",IF(F413="SELL",K413*IF(E413="Equity Intraday",Settings!$C$8,Settings!$C$7),0))</f>
        <v/>
      </c>
      <c r="N413" s="3">
        <f>IF(G413="","",K413*(Settings!$C$9+Settings!$C$10))</f>
        <v/>
      </c>
      <c r="O413" s="3">
        <f>IF(G413="","",IF(F413="BUY",K413*Settings!$C$11,0))</f>
        <v/>
      </c>
      <c r="P413" s="3">
        <f>IF(G413="","",L413*Settings!$C$6)</f>
        <v/>
      </c>
      <c r="Q413" s="3">
        <f>IF(G413="","",IF(AND(F413="SELL",E413="Equity Delivery"),Settings!$C$13,0))</f>
        <v/>
      </c>
      <c r="R413" s="3">
        <f>IF(G413="","",SUM(L413:Q413))</f>
        <v/>
      </c>
      <c r="S413" s="3">
        <f>IF(G413="","",IF(F413="BUY",-(K413+R413),K413-R413))</f>
        <v/>
      </c>
    </row>
    <row r="414">
      <c r="A414">
        <f>IF(G414="","",ROW()-1)</f>
        <v/>
      </c>
      <c r="B414" s="6" t="n"/>
      <c r="G414" s="3" t="n"/>
      <c r="H414" s="3" t="n"/>
      <c r="K414" s="3">
        <f>IF(G414="","",G414*H414)</f>
        <v/>
      </c>
      <c r="L414" s="3">
        <f>IF(G414="","",Settings!$C$5)</f>
        <v/>
      </c>
      <c r="M414" s="3">
        <f>IF(G414="","",IF(F414="SELL",K414*IF(E414="Equity Intraday",Settings!$C$8,Settings!$C$7),0))</f>
        <v/>
      </c>
      <c r="N414" s="3">
        <f>IF(G414="","",K414*(Settings!$C$9+Settings!$C$10))</f>
        <v/>
      </c>
      <c r="O414" s="3">
        <f>IF(G414="","",IF(F414="BUY",K414*Settings!$C$11,0))</f>
        <v/>
      </c>
      <c r="P414" s="3">
        <f>IF(G414="","",L414*Settings!$C$6)</f>
        <v/>
      </c>
      <c r="Q414" s="3">
        <f>IF(G414="","",IF(AND(F414="SELL",E414="Equity Delivery"),Settings!$C$13,0))</f>
        <v/>
      </c>
      <c r="R414" s="3">
        <f>IF(G414="","",SUM(L414:Q414))</f>
        <v/>
      </c>
      <c r="S414" s="3">
        <f>IF(G414="","",IF(F414="BUY",-(K414+R414),K414-R414))</f>
        <v/>
      </c>
    </row>
    <row r="415">
      <c r="A415">
        <f>IF(G415="","",ROW()-1)</f>
        <v/>
      </c>
      <c r="B415" s="6" t="n"/>
      <c r="G415" s="3" t="n"/>
      <c r="H415" s="3" t="n"/>
      <c r="K415" s="3">
        <f>IF(G415="","",G415*H415)</f>
        <v/>
      </c>
      <c r="L415" s="3">
        <f>IF(G415="","",Settings!$C$5)</f>
        <v/>
      </c>
      <c r="M415" s="3">
        <f>IF(G415="","",IF(F415="SELL",K415*IF(E415="Equity Intraday",Settings!$C$8,Settings!$C$7),0))</f>
        <v/>
      </c>
      <c r="N415" s="3">
        <f>IF(G415="","",K415*(Settings!$C$9+Settings!$C$10))</f>
        <v/>
      </c>
      <c r="O415" s="3">
        <f>IF(G415="","",IF(F415="BUY",K415*Settings!$C$11,0))</f>
        <v/>
      </c>
      <c r="P415" s="3">
        <f>IF(G415="","",L415*Settings!$C$6)</f>
        <v/>
      </c>
      <c r="Q415" s="3">
        <f>IF(G415="","",IF(AND(F415="SELL",E415="Equity Delivery"),Settings!$C$13,0))</f>
        <v/>
      </c>
      <c r="R415" s="3">
        <f>IF(G415="","",SUM(L415:Q415))</f>
        <v/>
      </c>
      <c r="S415" s="3">
        <f>IF(G415="","",IF(F415="BUY",-(K415+R415),K415-R415))</f>
        <v/>
      </c>
    </row>
    <row r="416">
      <c r="A416">
        <f>IF(G416="","",ROW()-1)</f>
        <v/>
      </c>
      <c r="B416" s="6" t="n"/>
      <c r="G416" s="3" t="n"/>
      <c r="H416" s="3" t="n"/>
      <c r="K416" s="3">
        <f>IF(G416="","",G416*H416)</f>
        <v/>
      </c>
      <c r="L416" s="3">
        <f>IF(G416="","",Settings!$C$5)</f>
        <v/>
      </c>
      <c r="M416" s="3">
        <f>IF(G416="","",IF(F416="SELL",K416*IF(E416="Equity Intraday",Settings!$C$8,Settings!$C$7),0))</f>
        <v/>
      </c>
      <c r="N416" s="3">
        <f>IF(G416="","",K416*(Settings!$C$9+Settings!$C$10))</f>
        <v/>
      </c>
      <c r="O416" s="3">
        <f>IF(G416="","",IF(F416="BUY",K416*Settings!$C$11,0))</f>
        <v/>
      </c>
      <c r="P416" s="3">
        <f>IF(G416="","",L416*Settings!$C$6)</f>
        <v/>
      </c>
      <c r="Q416" s="3">
        <f>IF(G416="","",IF(AND(F416="SELL",E416="Equity Delivery"),Settings!$C$13,0))</f>
        <v/>
      </c>
      <c r="R416" s="3">
        <f>IF(G416="","",SUM(L416:Q416))</f>
        <v/>
      </c>
      <c r="S416" s="3">
        <f>IF(G416="","",IF(F416="BUY",-(K416+R416),K416-R416))</f>
        <v/>
      </c>
    </row>
    <row r="417">
      <c r="A417">
        <f>IF(G417="","",ROW()-1)</f>
        <v/>
      </c>
      <c r="B417" s="6" t="n"/>
      <c r="G417" s="3" t="n"/>
      <c r="H417" s="3" t="n"/>
      <c r="K417" s="3">
        <f>IF(G417="","",G417*H417)</f>
        <v/>
      </c>
      <c r="L417" s="3">
        <f>IF(G417="","",Settings!$C$5)</f>
        <v/>
      </c>
      <c r="M417" s="3">
        <f>IF(G417="","",IF(F417="SELL",K417*IF(E417="Equity Intraday",Settings!$C$8,Settings!$C$7),0))</f>
        <v/>
      </c>
      <c r="N417" s="3">
        <f>IF(G417="","",K417*(Settings!$C$9+Settings!$C$10))</f>
        <v/>
      </c>
      <c r="O417" s="3">
        <f>IF(G417="","",IF(F417="BUY",K417*Settings!$C$11,0))</f>
        <v/>
      </c>
      <c r="P417" s="3">
        <f>IF(G417="","",L417*Settings!$C$6)</f>
        <v/>
      </c>
      <c r="Q417" s="3">
        <f>IF(G417="","",IF(AND(F417="SELL",E417="Equity Delivery"),Settings!$C$13,0))</f>
        <v/>
      </c>
      <c r="R417" s="3">
        <f>IF(G417="","",SUM(L417:Q417))</f>
        <v/>
      </c>
      <c r="S417" s="3">
        <f>IF(G417="","",IF(F417="BUY",-(K417+R417),K417-R417))</f>
        <v/>
      </c>
    </row>
    <row r="418">
      <c r="A418">
        <f>IF(G418="","",ROW()-1)</f>
        <v/>
      </c>
      <c r="B418" s="6" t="n"/>
      <c r="G418" s="3" t="n"/>
      <c r="H418" s="3" t="n"/>
      <c r="K418" s="3">
        <f>IF(G418="","",G418*H418)</f>
        <v/>
      </c>
      <c r="L418" s="3">
        <f>IF(G418="","",Settings!$C$5)</f>
        <v/>
      </c>
      <c r="M418" s="3">
        <f>IF(G418="","",IF(F418="SELL",K418*IF(E418="Equity Intraday",Settings!$C$8,Settings!$C$7),0))</f>
        <v/>
      </c>
      <c r="N418" s="3">
        <f>IF(G418="","",K418*(Settings!$C$9+Settings!$C$10))</f>
        <v/>
      </c>
      <c r="O418" s="3">
        <f>IF(G418="","",IF(F418="BUY",K418*Settings!$C$11,0))</f>
        <v/>
      </c>
      <c r="P418" s="3">
        <f>IF(G418="","",L418*Settings!$C$6)</f>
        <v/>
      </c>
      <c r="Q418" s="3">
        <f>IF(G418="","",IF(AND(F418="SELL",E418="Equity Delivery"),Settings!$C$13,0))</f>
        <v/>
      </c>
      <c r="R418" s="3">
        <f>IF(G418="","",SUM(L418:Q418))</f>
        <v/>
      </c>
      <c r="S418" s="3">
        <f>IF(G418="","",IF(F418="BUY",-(K418+R418),K418-R418))</f>
        <v/>
      </c>
    </row>
    <row r="419">
      <c r="A419">
        <f>IF(G419="","",ROW()-1)</f>
        <v/>
      </c>
      <c r="B419" s="6" t="n"/>
      <c r="G419" s="3" t="n"/>
      <c r="H419" s="3" t="n"/>
      <c r="K419" s="3">
        <f>IF(G419="","",G419*H419)</f>
        <v/>
      </c>
      <c r="L419" s="3">
        <f>IF(G419="","",Settings!$C$5)</f>
        <v/>
      </c>
      <c r="M419" s="3">
        <f>IF(G419="","",IF(F419="SELL",K419*IF(E419="Equity Intraday",Settings!$C$8,Settings!$C$7),0))</f>
        <v/>
      </c>
      <c r="N419" s="3">
        <f>IF(G419="","",K419*(Settings!$C$9+Settings!$C$10))</f>
        <v/>
      </c>
      <c r="O419" s="3">
        <f>IF(G419="","",IF(F419="BUY",K419*Settings!$C$11,0))</f>
        <v/>
      </c>
      <c r="P419" s="3">
        <f>IF(G419="","",L419*Settings!$C$6)</f>
        <v/>
      </c>
      <c r="Q419" s="3">
        <f>IF(G419="","",IF(AND(F419="SELL",E419="Equity Delivery"),Settings!$C$13,0))</f>
        <v/>
      </c>
      <c r="R419" s="3">
        <f>IF(G419="","",SUM(L419:Q419))</f>
        <v/>
      </c>
      <c r="S419" s="3">
        <f>IF(G419="","",IF(F419="BUY",-(K419+R419),K419-R419))</f>
        <v/>
      </c>
    </row>
    <row r="420">
      <c r="A420">
        <f>IF(G420="","",ROW()-1)</f>
        <v/>
      </c>
      <c r="B420" s="6" t="n"/>
      <c r="G420" s="3" t="n"/>
      <c r="H420" s="3" t="n"/>
      <c r="K420" s="3">
        <f>IF(G420="","",G420*H420)</f>
        <v/>
      </c>
      <c r="L420" s="3">
        <f>IF(G420="","",Settings!$C$5)</f>
        <v/>
      </c>
      <c r="M420" s="3">
        <f>IF(G420="","",IF(F420="SELL",K420*IF(E420="Equity Intraday",Settings!$C$8,Settings!$C$7),0))</f>
        <v/>
      </c>
      <c r="N420" s="3">
        <f>IF(G420="","",K420*(Settings!$C$9+Settings!$C$10))</f>
        <v/>
      </c>
      <c r="O420" s="3">
        <f>IF(G420="","",IF(F420="BUY",K420*Settings!$C$11,0))</f>
        <v/>
      </c>
      <c r="P420" s="3">
        <f>IF(G420="","",L420*Settings!$C$6)</f>
        <v/>
      </c>
      <c r="Q420" s="3">
        <f>IF(G420="","",IF(AND(F420="SELL",E420="Equity Delivery"),Settings!$C$13,0))</f>
        <v/>
      </c>
      <c r="R420" s="3">
        <f>IF(G420="","",SUM(L420:Q420))</f>
        <v/>
      </c>
      <c r="S420" s="3">
        <f>IF(G420="","",IF(F420="BUY",-(K420+R420),K420-R420))</f>
        <v/>
      </c>
    </row>
    <row r="421">
      <c r="A421">
        <f>IF(G421="","",ROW()-1)</f>
        <v/>
      </c>
      <c r="B421" s="6" t="n"/>
      <c r="G421" s="3" t="n"/>
      <c r="H421" s="3" t="n"/>
      <c r="K421" s="3">
        <f>IF(G421="","",G421*H421)</f>
        <v/>
      </c>
      <c r="L421" s="3">
        <f>IF(G421="","",Settings!$C$5)</f>
        <v/>
      </c>
      <c r="M421" s="3">
        <f>IF(G421="","",IF(F421="SELL",K421*IF(E421="Equity Intraday",Settings!$C$8,Settings!$C$7),0))</f>
        <v/>
      </c>
      <c r="N421" s="3">
        <f>IF(G421="","",K421*(Settings!$C$9+Settings!$C$10))</f>
        <v/>
      </c>
      <c r="O421" s="3">
        <f>IF(G421="","",IF(F421="BUY",K421*Settings!$C$11,0))</f>
        <v/>
      </c>
      <c r="P421" s="3">
        <f>IF(G421="","",L421*Settings!$C$6)</f>
        <v/>
      </c>
      <c r="Q421" s="3">
        <f>IF(G421="","",IF(AND(F421="SELL",E421="Equity Delivery"),Settings!$C$13,0))</f>
        <v/>
      </c>
      <c r="R421" s="3">
        <f>IF(G421="","",SUM(L421:Q421))</f>
        <v/>
      </c>
      <c r="S421" s="3">
        <f>IF(G421="","",IF(F421="BUY",-(K421+R421),K421-R421))</f>
        <v/>
      </c>
    </row>
    <row r="422">
      <c r="A422">
        <f>IF(G422="","",ROW()-1)</f>
        <v/>
      </c>
      <c r="B422" s="6" t="n"/>
      <c r="G422" s="3" t="n"/>
      <c r="H422" s="3" t="n"/>
      <c r="K422" s="3">
        <f>IF(G422="","",G422*H422)</f>
        <v/>
      </c>
      <c r="L422" s="3">
        <f>IF(G422="","",Settings!$C$5)</f>
        <v/>
      </c>
      <c r="M422" s="3">
        <f>IF(G422="","",IF(F422="SELL",K422*IF(E422="Equity Intraday",Settings!$C$8,Settings!$C$7),0))</f>
        <v/>
      </c>
      <c r="N422" s="3">
        <f>IF(G422="","",K422*(Settings!$C$9+Settings!$C$10))</f>
        <v/>
      </c>
      <c r="O422" s="3">
        <f>IF(G422="","",IF(F422="BUY",K422*Settings!$C$11,0))</f>
        <v/>
      </c>
      <c r="P422" s="3">
        <f>IF(G422="","",L422*Settings!$C$6)</f>
        <v/>
      </c>
      <c r="Q422" s="3">
        <f>IF(G422="","",IF(AND(F422="SELL",E422="Equity Delivery"),Settings!$C$13,0))</f>
        <v/>
      </c>
      <c r="R422" s="3">
        <f>IF(G422="","",SUM(L422:Q422))</f>
        <v/>
      </c>
      <c r="S422" s="3">
        <f>IF(G422="","",IF(F422="BUY",-(K422+R422),K422-R422))</f>
        <v/>
      </c>
    </row>
    <row r="423">
      <c r="A423">
        <f>IF(G423="","",ROW()-1)</f>
        <v/>
      </c>
      <c r="B423" s="6" t="n"/>
      <c r="G423" s="3" t="n"/>
      <c r="H423" s="3" t="n"/>
      <c r="K423" s="3">
        <f>IF(G423="","",G423*H423)</f>
        <v/>
      </c>
      <c r="L423" s="3">
        <f>IF(G423="","",Settings!$C$5)</f>
        <v/>
      </c>
      <c r="M423" s="3">
        <f>IF(G423="","",IF(F423="SELL",K423*IF(E423="Equity Intraday",Settings!$C$8,Settings!$C$7),0))</f>
        <v/>
      </c>
      <c r="N423" s="3">
        <f>IF(G423="","",K423*(Settings!$C$9+Settings!$C$10))</f>
        <v/>
      </c>
      <c r="O423" s="3">
        <f>IF(G423="","",IF(F423="BUY",K423*Settings!$C$11,0))</f>
        <v/>
      </c>
      <c r="P423" s="3">
        <f>IF(G423="","",L423*Settings!$C$6)</f>
        <v/>
      </c>
      <c r="Q423" s="3">
        <f>IF(G423="","",IF(AND(F423="SELL",E423="Equity Delivery"),Settings!$C$13,0))</f>
        <v/>
      </c>
      <c r="R423" s="3">
        <f>IF(G423="","",SUM(L423:Q423))</f>
        <v/>
      </c>
      <c r="S423" s="3">
        <f>IF(G423="","",IF(F423="BUY",-(K423+R423),K423-R423))</f>
        <v/>
      </c>
    </row>
    <row r="424">
      <c r="A424">
        <f>IF(G424="","",ROW()-1)</f>
        <v/>
      </c>
      <c r="B424" s="6" t="n"/>
      <c r="G424" s="3" t="n"/>
      <c r="H424" s="3" t="n"/>
      <c r="K424" s="3">
        <f>IF(G424="","",G424*H424)</f>
        <v/>
      </c>
      <c r="L424" s="3">
        <f>IF(G424="","",Settings!$C$5)</f>
        <v/>
      </c>
      <c r="M424" s="3">
        <f>IF(G424="","",IF(F424="SELL",K424*IF(E424="Equity Intraday",Settings!$C$8,Settings!$C$7),0))</f>
        <v/>
      </c>
      <c r="N424" s="3">
        <f>IF(G424="","",K424*(Settings!$C$9+Settings!$C$10))</f>
        <v/>
      </c>
      <c r="O424" s="3">
        <f>IF(G424="","",IF(F424="BUY",K424*Settings!$C$11,0))</f>
        <v/>
      </c>
      <c r="P424" s="3">
        <f>IF(G424="","",L424*Settings!$C$6)</f>
        <v/>
      </c>
      <c r="Q424" s="3">
        <f>IF(G424="","",IF(AND(F424="SELL",E424="Equity Delivery"),Settings!$C$13,0))</f>
        <v/>
      </c>
      <c r="R424" s="3">
        <f>IF(G424="","",SUM(L424:Q424))</f>
        <v/>
      </c>
      <c r="S424" s="3">
        <f>IF(G424="","",IF(F424="BUY",-(K424+R424),K424-R424))</f>
        <v/>
      </c>
    </row>
    <row r="425">
      <c r="A425">
        <f>IF(G425="","",ROW()-1)</f>
        <v/>
      </c>
      <c r="B425" s="6" t="n"/>
      <c r="G425" s="3" t="n"/>
      <c r="H425" s="3" t="n"/>
      <c r="K425" s="3">
        <f>IF(G425="","",G425*H425)</f>
        <v/>
      </c>
      <c r="L425" s="3">
        <f>IF(G425="","",Settings!$C$5)</f>
        <v/>
      </c>
      <c r="M425" s="3">
        <f>IF(G425="","",IF(F425="SELL",K425*IF(E425="Equity Intraday",Settings!$C$8,Settings!$C$7),0))</f>
        <v/>
      </c>
      <c r="N425" s="3">
        <f>IF(G425="","",K425*(Settings!$C$9+Settings!$C$10))</f>
        <v/>
      </c>
      <c r="O425" s="3">
        <f>IF(G425="","",IF(F425="BUY",K425*Settings!$C$11,0))</f>
        <v/>
      </c>
      <c r="P425" s="3">
        <f>IF(G425="","",L425*Settings!$C$6)</f>
        <v/>
      </c>
      <c r="Q425" s="3">
        <f>IF(G425="","",IF(AND(F425="SELL",E425="Equity Delivery"),Settings!$C$13,0))</f>
        <v/>
      </c>
      <c r="R425" s="3">
        <f>IF(G425="","",SUM(L425:Q425))</f>
        <v/>
      </c>
      <c r="S425" s="3">
        <f>IF(G425="","",IF(F425="BUY",-(K425+R425),K425-R425))</f>
        <v/>
      </c>
    </row>
    <row r="426">
      <c r="A426">
        <f>IF(G426="","",ROW()-1)</f>
        <v/>
      </c>
      <c r="B426" s="6" t="n"/>
      <c r="G426" s="3" t="n"/>
      <c r="H426" s="3" t="n"/>
      <c r="K426" s="3">
        <f>IF(G426="","",G426*H426)</f>
        <v/>
      </c>
      <c r="L426" s="3">
        <f>IF(G426="","",Settings!$C$5)</f>
        <v/>
      </c>
      <c r="M426" s="3">
        <f>IF(G426="","",IF(F426="SELL",K426*IF(E426="Equity Intraday",Settings!$C$8,Settings!$C$7),0))</f>
        <v/>
      </c>
      <c r="N426" s="3">
        <f>IF(G426="","",K426*(Settings!$C$9+Settings!$C$10))</f>
        <v/>
      </c>
      <c r="O426" s="3">
        <f>IF(G426="","",IF(F426="BUY",K426*Settings!$C$11,0))</f>
        <v/>
      </c>
      <c r="P426" s="3">
        <f>IF(G426="","",L426*Settings!$C$6)</f>
        <v/>
      </c>
      <c r="Q426" s="3">
        <f>IF(G426="","",IF(AND(F426="SELL",E426="Equity Delivery"),Settings!$C$13,0))</f>
        <v/>
      </c>
      <c r="R426" s="3">
        <f>IF(G426="","",SUM(L426:Q426))</f>
        <v/>
      </c>
      <c r="S426" s="3">
        <f>IF(G426="","",IF(F426="BUY",-(K426+R426),K426-R426))</f>
        <v/>
      </c>
    </row>
    <row r="427">
      <c r="A427">
        <f>IF(G427="","",ROW()-1)</f>
        <v/>
      </c>
      <c r="B427" s="6" t="n"/>
      <c r="G427" s="3" t="n"/>
      <c r="H427" s="3" t="n"/>
      <c r="K427" s="3">
        <f>IF(G427="","",G427*H427)</f>
        <v/>
      </c>
      <c r="L427" s="3">
        <f>IF(G427="","",Settings!$C$5)</f>
        <v/>
      </c>
      <c r="M427" s="3">
        <f>IF(G427="","",IF(F427="SELL",K427*IF(E427="Equity Intraday",Settings!$C$8,Settings!$C$7),0))</f>
        <v/>
      </c>
      <c r="N427" s="3">
        <f>IF(G427="","",K427*(Settings!$C$9+Settings!$C$10))</f>
        <v/>
      </c>
      <c r="O427" s="3">
        <f>IF(G427="","",IF(F427="BUY",K427*Settings!$C$11,0))</f>
        <v/>
      </c>
      <c r="P427" s="3">
        <f>IF(G427="","",L427*Settings!$C$6)</f>
        <v/>
      </c>
      <c r="Q427" s="3">
        <f>IF(G427="","",IF(AND(F427="SELL",E427="Equity Delivery"),Settings!$C$13,0))</f>
        <v/>
      </c>
      <c r="R427" s="3">
        <f>IF(G427="","",SUM(L427:Q427))</f>
        <v/>
      </c>
      <c r="S427" s="3">
        <f>IF(G427="","",IF(F427="BUY",-(K427+R427),K427-R427))</f>
        <v/>
      </c>
    </row>
    <row r="428">
      <c r="A428">
        <f>IF(G428="","",ROW()-1)</f>
        <v/>
      </c>
      <c r="B428" s="6" t="n"/>
      <c r="G428" s="3" t="n"/>
      <c r="H428" s="3" t="n"/>
      <c r="K428" s="3">
        <f>IF(G428="","",G428*H428)</f>
        <v/>
      </c>
      <c r="L428" s="3">
        <f>IF(G428="","",Settings!$C$5)</f>
        <v/>
      </c>
      <c r="M428" s="3">
        <f>IF(G428="","",IF(F428="SELL",K428*IF(E428="Equity Intraday",Settings!$C$8,Settings!$C$7),0))</f>
        <v/>
      </c>
      <c r="N428" s="3">
        <f>IF(G428="","",K428*(Settings!$C$9+Settings!$C$10))</f>
        <v/>
      </c>
      <c r="O428" s="3">
        <f>IF(G428="","",IF(F428="BUY",K428*Settings!$C$11,0))</f>
        <v/>
      </c>
      <c r="P428" s="3">
        <f>IF(G428="","",L428*Settings!$C$6)</f>
        <v/>
      </c>
      <c r="Q428" s="3">
        <f>IF(G428="","",IF(AND(F428="SELL",E428="Equity Delivery"),Settings!$C$13,0))</f>
        <v/>
      </c>
      <c r="R428" s="3">
        <f>IF(G428="","",SUM(L428:Q428))</f>
        <v/>
      </c>
      <c r="S428" s="3">
        <f>IF(G428="","",IF(F428="BUY",-(K428+R428),K428-R428))</f>
        <v/>
      </c>
    </row>
    <row r="429">
      <c r="A429">
        <f>IF(G429="","",ROW()-1)</f>
        <v/>
      </c>
      <c r="B429" s="6" t="n"/>
      <c r="G429" s="3" t="n"/>
      <c r="H429" s="3" t="n"/>
      <c r="K429" s="3">
        <f>IF(G429="","",G429*H429)</f>
        <v/>
      </c>
      <c r="L429" s="3">
        <f>IF(G429="","",Settings!$C$5)</f>
        <v/>
      </c>
      <c r="M429" s="3">
        <f>IF(G429="","",IF(F429="SELL",K429*IF(E429="Equity Intraday",Settings!$C$8,Settings!$C$7),0))</f>
        <v/>
      </c>
      <c r="N429" s="3">
        <f>IF(G429="","",K429*(Settings!$C$9+Settings!$C$10))</f>
        <v/>
      </c>
      <c r="O429" s="3">
        <f>IF(G429="","",IF(F429="BUY",K429*Settings!$C$11,0))</f>
        <v/>
      </c>
      <c r="P429" s="3">
        <f>IF(G429="","",L429*Settings!$C$6)</f>
        <v/>
      </c>
      <c r="Q429" s="3">
        <f>IF(G429="","",IF(AND(F429="SELL",E429="Equity Delivery"),Settings!$C$13,0))</f>
        <v/>
      </c>
      <c r="R429" s="3">
        <f>IF(G429="","",SUM(L429:Q429))</f>
        <v/>
      </c>
      <c r="S429" s="3">
        <f>IF(G429="","",IF(F429="BUY",-(K429+R429),K429-R429))</f>
        <v/>
      </c>
    </row>
    <row r="430">
      <c r="A430">
        <f>IF(G430="","",ROW()-1)</f>
        <v/>
      </c>
      <c r="B430" s="6" t="n"/>
      <c r="G430" s="3" t="n"/>
      <c r="H430" s="3" t="n"/>
      <c r="K430" s="3">
        <f>IF(G430="","",G430*H430)</f>
        <v/>
      </c>
      <c r="L430" s="3">
        <f>IF(G430="","",Settings!$C$5)</f>
        <v/>
      </c>
      <c r="M430" s="3">
        <f>IF(G430="","",IF(F430="SELL",K430*IF(E430="Equity Intraday",Settings!$C$8,Settings!$C$7),0))</f>
        <v/>
      </c>
      <c r="N430" s="3">
        <f>IF(G430="","",K430*(Settings!$C$9+Settings!$C$10))</f>
        <v/>
      </c>
      <c r="O430" s="3">
        <f>IF(G430="","",IF(F430="BUY",K430*Settings!$C$11,0))</f>
        <v/>
      </c>
      <c r="P430" s="3">
        <f>IF(G430="","",L430*Settings!$C$6)</f>
        <v/>
      </c>
      <c r="Q430" s="3">
        <f>IF(G430="","",IF(AND(F430="SELL",E430="Equity Delivery"),Settings!$C$13,0))</f>
        <v/>
      </c>
      <c r="R430" s="3">
        <f>IF(G430="","",SUM(L430:Q430))</f>
        <v/>
      </c>
      <c r="S430" s="3">
        <f>IF(G430="","",IF(F430="BUY",-(K430+R430),K430-R430))</f>
        <v/>
      </c>
    </row>
    <row r="431">
      <c r="A431">
        <f>IF(G431="","",ROW()-1)</f>
        <v/>
      </c>
      <c r="B431" s="6" t="n"/>
      <c r="G431" s="3" t="n"/>
      <c r="H431" s="3" t="n"/>
      <c r="K431" s="3">
        <f>IF(G431="","",G431*H431)</f>
        <v/>
      </c>
      <c r="L431" s="3">
        <f>IF(G431="","",Settings!$C$5)</f>
        <v/>
      </c>
      <c r="M431" s="3">
        <f>IF(G431="","",IF(F431="SELL",K431*IF(E431="Equity Intraday",Settings!$C$8,Settings!$C$7),0))</f>
        <v/>
      </c>
      <c r="N431" s="3">
        <f>IF(G431="","",K431*(Settings!$C$9+Settings!$C$10))</f>
        <v/>
      </c>
      <c r="O431" s="3">
        <f>IF(G431="","",IF(F431="BUY",K431*Settings!$C$11,0))</f>
        <v/>
      </c>
      <c r="P431" s="3">
        <f>IF(G431="","",L431*Settings!$C$6)</f>
        <v/>
      </c>
      <c r="Q431" s="3">
        <f>IF(G431="","",IF(AND(F431="SELL",E431="Equity Delivery"),Settings!$C$13,0))</f>
        <v/>
      </c>
      <c r="R431" s="3">
        <f>IF(G431="","",SUM(L431:Q431))</f>
        <v/>
      </c>
      <c r="S431" s="3">
        <f>IF(G431="","",IF(F431="BUY",-(K431+R431),K431-R431))</f>
        <v/>
      </c>
    </row>
    <row r="432">
      <c r="A432">
        <f>IF(G432="","",ROW()-1)</f>
        <v/>
      </c>
      <c r="B432" s="6" t="n"/>
      <c r="G432" s="3" t="n"/>
      <c r="H432" s="3" t="n"/>
      <c r="K432" s="3">
        <f>IF(G432="","",G432*H432)</f>
        <v/>
      </c>
      <c r="L432" s="3">
        <f>IF(G432="","",Settings!$C$5)</f>
        <v/>
      </c>
      <c r="M432" s="3">
        <f>IF(G432="","",IF(F432="SELL",K432*IF(E432="Equity Intraday",Settings!$C$8,Settings!$C$7),0))</f>
        <v/>
      </c>
      <c r="N432" s="3">
        <f>IF(G432="","",K432*(Settings!$C$9+Settings!$C$10))</f>
        <v/>
      </c>
      <c r="O432" s="3">
        <f>IF(G432="","",IF(F432="BUY",K432*Settings!$C$11,0))</f>
        <v/>
      </c>
      <c r="P432" s="3">
        <f>IF(G432="","",L432*Settings!$C$6)</f>
        <v/>
      </c>
      <c r="Q432" s="3">
        <f>IF(G432="","",IF(AND(F432="SELL",E432="Equity Delivery"),Settings!$C$13,0))</f>
        <v/>
      </c>
      <c r="R432" s="3">
        <f>IF(G432="","",SUM(L432:Q432))</f>
        <v/>
      </c>
      <c r="S432" s="3">
        <f>IF(G432="","",IF(F432="BUY",-(K432+R432),K432-R432))</f>
        <v/>
      </c>
    </row>
    <row r="433">
      <c r="A433">
        <f>IF(G433="","",ROW()-1)</f>
        <v/>
      </c>
      <c r="B433" s="6" t="n"/>
      <c r="G433" s="3" t="n"/>
      <c r="H433" s="3" t="n"/>
      <c r="K433" s="3">
        <f>IF(G433="","",G433*H433)</f>
        <v/>
      </c>
      <c r="L433" s="3">
        <f>IF(G433="","",Settings!$C$5)</f>
        <v/>
      </c>
      <c r="M433" s="3">
        <f>IF(G433="","",IF(F433="SELL",K433*IF(E433="Equity Intraday",Settings!$C$8,Settings!$C$7),0))</f>
        <v/>
      </c>
      <c r="N433" s="3">
        <f>IF(G433="","",K433*(Settings!$C$9+Settings!$C$10))</f>
        <v/>
      </c>
      <c r="O433" s="3">
        <f>IF(G433="","",IF(F433="BUY",K433*Settings!$C$11,0))</f>
        <v/>
      </c>
      <c r="P433" s="3">
        <f>IF(G433="","",L433*Settings!$C$6)</f>
        <v/>
      </c>
      <c r="Q433" s="3">
        <f>IF(G433="","",IF(AND(F433="SELL",E433="Equity Delivery"),Settings!$C$13,0))</f>
        <v/>
      </c>
      <c r="R433" s="3">
        <f>IF(G433="","",SUM(L433:Q433))</f>
        <v/>
      </c>
      <c r="S433" s="3">
        <f>IF(G433="","",IF(F433="BUY",-(K433+R433),K433-R433))</f>
        <v/>
      </c>
    </row>
    <row r="434">
      <c r="A434">
        <f>IF(G434="","",ROW()-1)</f>
        <v/>
      </c>
      <c r="B434" s="6" t="n"/>
      <c r="G434" s="3" t="n"/>
      <c r="H434" s="3" t="n"/>
      <c r="K434" s="3">
        <f>IF(G434="","",G434*H434)</f>
        <v/>
      </c>
      <c r="L434" s="3">
        <f>IF(G434="","",Settings!$C$5)</f>
        <v/>
      </c>
      <c r="M434" s="3">
        <f>IF(G434="","",IF(F434="SELL",K434*IF(E434="Equity Intraday",Settings!$C$8,Settings!$C$7),0))</f>
        <v/>
      </c>
      <c r="N434" s="3">
        <f>IF(G434="","",K434*(Settings!$C$9+Settings!$C$10))</f>
        <v/>
      </c>
      <c r="O434" s="3">
        <f>IF(G434="","",IF(F434="BUY",K434*Settings!$C$11,0))</f>
        <v/>
      </c>
      <c r="P434" s="3">
        <f>IF(G434="","",L434*Settings!$C$6)</f>
        <v/>
      </c>
      <c r="Q434" s="3">
        <f>IF(G434="","",IF(AND(F434="SELL",E434="Equity Delivery"),Settings!$C$13,0))</f>
        <v/>
      </c>
      <c r="R434" s="3">
        <f>IF(G434="","",SUM(L434:Q434))</f>
        <v/>
      </c>
      <c r="S434" s="3">
        <f>IF(G434="","",IF(F434="BUY",-(K434+R434),K434-R434))</f>
        <v/>
      </c>
    </row>
    <row r="435">
      <c r="A435">
        <f>IF(G435="","",ROW()-1)</f>
        <v/>
      </c>
      <c r="B435" s="6" t="n"/>
      <c r="G435" s="3" t="n"/>
      <c r="H435" s="3" t="n"/>
      <c r="K435" s="3">
        <f>IF(G435="","",G435*H435)</f>
        <v/>
      </c>
      <c r="L435" s="3">
        <f>IF(G435="","",Settings!$C$5)</f>
        <v/>
      </c>
      <c r="M435" s="3">
        <f>IF(G435="","",IF(F435="SELL",K435*IF(E435="Equity Intraday",Settings!$C$8,Settings!$C$7),0))</f>
        <v/>
      </c>
      <c r="N435" s="3">
        <f>IF(G435="","",K435*(Settings!$C$9+Settings!$C$10))</f>
        <v/>
      </c>
      <c r="O435" s="3">
        <f>IF(G435="","",IF(F435="BUY",K435*Settings!$C$11,0))</f>
        <v/>
      </c>
      <c r="P435" s="3">
        <f>IF(G435="","",L435*Settings!$C$6)</f>
        <v/>
      </c>
      <c r="Q435" s="3">
        <f>IF(G435="","",IF(AND(F435="SELL",E435="Equity Delivery"),Settings!$C$13,0))</f>
        <v/>
      </c>
      <c r="R435" s="3">
        <f>IF(G435="","",SUM(L435:Q435))</f>
        <v/>
      </c>
      <c r="S435" s="3">
        <f>IF(G435="","",IF(F435="BUY",-(K435+R435),K435-R435))</f>
        <v/>
      </c>
    </row>
    <row r="436">
      <c r="A436">
        <f>IF(G436="","",ROW()-1)</f>
        <v/>
      </c>
      <c r="B436" s="6" t="n"/>
      <c r="G436" s="3" t="n"/>
      <c r="H436" s="3" t="n"/>
      <c r="K436" s="3">
        <f>IF(G436="","",G436*H436)</f>
        <v/>
      </c>
      <c r="L436" s="3">
        <f>IF(G436="","",Settings!$C$5)</f>
        <v/>
      </c>
      <c r="M436" s="3">
        <f>IF(G436="","",IF(F436="SELL",K436*IF(E436="Equity Intraday",Settings!$C$8,Settings!$C$7),0))</f>
        <v/>
      </c>
      <c r="N436" s="3">
        <f>IF(G436="","",K436*(Settings!$C$9+Settings!$C$10))</f>
        <v/>
      </c>
      <c r="O436" s="3">
        <f>IF(G436="","",IF(F436="BUY",K436*Settings!$C$11,0))</f>
        <v/>
      </c>
      <c r="P436" s="3">
        <f>IF(G436="","",L436*Settings!$C$6)</f>
        <v/>
      </c>
      <c r="Q436" s="3">
        <f>IF(G436="","",IF(AND(F436="SELL",E436="Equity Delivery"),Settings!$C$13,0))</f>
        <v/>
      </c>
      <c r="R436" s="3">
        <f>IF(G436="","",SUM(L436:Q436))</f>
        <v/>
      </c>
      <c r="S436" s="3">
        <f>IF(G436="","",IF(F436="BUY",-(K436+R436),K436-R436))</f>
        <v/>
      </c>
    </row>
    <row r="437">
      <c r="A437">
        <f>IF(G437="","",ROW()-1)</f>
        <v/>
      </c>
      <c r="B437" s="6" t="n"/>
      <c r="G437" s="3" t="n"/>
      <c r="H437" s="3" t="n"/>
      <c r="K437" s="3">
        <f>IF(G437="","",G437*H437)</f>
        <v/>
      </c>
      <c r="L437" s="3">
        <f>IF(G437="","",Settings!$C$5)</f>
        <v/>
      </c>
      <c r="M437" s="3">
        <f>IF(G437="","",IF(F437="SELL",K437*IF(E437="Equity Intraday",Settings!$C$8,Settings!$C$7),0))</f>
        <v/>
      </c>
      <c r="N437" s="3">
        <f>IF(G437="","",K437*(Settings!$C$9+Settings!$C$10))</f>
        <v/>
      </c>
      <c r="O437" s="3">
        <f>IF(G437="","",IF(F437="BUY",K437*Settings!$C$11,0))</f>
        <v/>
      </c>
      <c r="P437" s="3">
        <f>IF(G437="","",L437*Settings!$C$6)</f>
        <v/>
      </c>
      <c r="Q437" s="3">
        <f>IF(G437="","",IF(AND(F437="SELL",E437="Equity Delivery"),Settings!$C$13,0))</f>
        <v/>
      </c>
      <c r="R437" s="3">
        <f>IF(G437="","",SUM(L437:Q437))</f>
        <v/>
      </c>
      <c r="S437" s="3">
        <f>IF(G437="","",IF(F437="BUY",-(K437+R437),K437-R437))</f>
        <v/>
      </c>
    </row>
    <row r="438">
      <c r="A438">
        <f>IF(G438="","",ROW()-1)</f>
        <v/>
      </c>
      <c r="B438" s="6" t="n"/>
      <c r="G438" s="3" t="n"/>
      <c r="H438" s="3" t="n"/>
      <c r="K438" s="3">
        <f>IF(G438="","",G438*H438)</f>
        <v/>
      </c>
      <c r="L438" s="3">
        <f>IF(G438="","",Settings!$C$5)</f>
        <v/>
      </c>
      <c r="M438" s="3">
        <f>IF(G438="","",IF(F438="SELL",K438*IF(E438="Equity Intraday",Settings!$C$8,Settings!$C$7),0))</f>
        <v/>
      </c>
      <c r="N438" s="3">
        <f>IF(G438="","",K438*(Settings!$C$9+Settings!$C$10))</f>
        <v/>
      </c>
      <c r="O438" s="3">
        <f>IF(G438="","",IF(F438="BUY",K438*Settings!$C$11,0))</f>
        <v/>
      </c>
      <c r="P438" s="3">
        <f>IF(G438="","",L438*Settings!$C$6)</f>
        <v/>
      </c>
      <c r="Q438" s="3">
        <f>IF(G438="","",IF(AND(F438="SELL",E438="Equity Delivery"),Settings!$C$13,0))</f>
        <v/>
      </c>
      <c r="R438" s="3">
        <f>IF(G438="","",SUM(L438:Q438))</f>
        <v/>
      </c>
      <c r="S438" s="3">
        <f>IF(G438="","",IF(F438="BUY",-(K438+R438),K438-R438))</f>
        <v/>
      </c>
    </row>
    <row r="439">
      <c r="A439">
        <f>IF(G439="","",ROW()-1)</f>
        <v/>
      </c>
      <c r="B439" s="6" t="n"/>
      <c r="G439" s="3" t="n"/>
      <c r="H439" s="3" t="n"/>
      <c r="K439" s="3">
        <f>IF(G439="","",G439*H439)</f>
        <v/>
      </c>
      <c r="L439" s="3">
        <f>IF(G439="","",Settings!$C$5)</f>
        <v/>
      </c>
      <c r="M439" s="3">
        <f>IF(G439="","",IF(F439="SELL",K439*IF(E439="Equity Intraday",Settings!$C$8,Settings!$C$7),0))</f>
        <v/>
      </c>
      <c r="N439" s="3">
        <f>IF(G439="","",K439*(Settings!$C$9+Settings!$C$10))</f>
        <v/>
      </c>
      <c r="O439" s="3">
        <f>IF(G439="","",IF(F439="BUY",K439*Settings!$C$11,0))</f>
        <v/>
      </c>
      <c r="P439" s="3">
        <f>IF(G439="","",L439*Settings!$C$6)</f>
        <v/>
      </c>
      <c r="Q439" s="3">
        <f>IF(G439="","",IF(AND(F439="SELL",E439="Equity Delivery"),Settings!$C$13,0))</f>
        <v/>
      </c>
      <c r="R439" s="3">
        <f>IF(G439="","",SUM(L439:Q439))</f>
        <v/>
      </c>
      <c r="S439" s="3">
        <f>IF(G439="","",IF(F439="BUY",-(K439+R439),K439-R439))</f>
        <v/>
      </c>
    </row>
    <row r="440">
      <c r="A440">
        <f>IF(G440="","",ROW()-1)</f>
        <v/>
      </c>
      <c r="B440" s="6" t="n"/>
      <c r="G440" s="3" t="n"/>
      <c r="H440" s="3" t="n"/>
      <c r="K440" s="3">
        <f>IF(G440="","",G440*H440)</f>
        <v/>
      </c>
      <c r="L440" s="3">
        <f>IF(G440="","",Settings!$C$5)</f>
        <v/>
      </c>
      <c r="M440" s="3">
        <f>IF(G440="","",IF(F440="SELL",K440*IF(E440="Equity Intraday",Settings!$C$8,Settings!$C$7),0))</f>
        <v/>
      </c>
      <c r="N440" s="3">
        <f>IF(G440="","",K440*(Settings!$C$9+Settings!$C$10))</f>
        <v/>
      </c>
      <c r="O440" s="3">
        <f>IF(G440="","",IF(F440="BUY",K440*Settings!$C$11,0))</f>
        <v/>
      </c>
      <c r="P440" s="3">
        <f>IF(G440="","",L440*Settings!$C$6)</f>
        <v/>
      </c>
      <c r="Q440" s="3">
        <f>IF(G440="","",IF(AND(F440="SELL",E440="Equity Delivery"),Settings!$C$13,0))</f>
        <v/>
      </c>
      <c r="R440" s="3">
        <f>IF(G440="","",SUM(L440:Q440))</f>
        <v/>
      </c>
      <c r="S440" s="3">
        <f>IF(G440="","",IF(F440="BUY",-(K440+R440),K440-R440))</f>
        <v/>
      </c>
    </row>
    <row r="441">
      <c r="A441">
        <f>IF(G441="","",ROW()-1)</f>
        <v/>
      </c>
      <c r="B441" s="6" t="n"/>
      <c r="G441" s="3" t="n"/>
      <c r="H441" s="3" t="n"/>
      <c r="K441" s="3">
        <f>IF(G441="","",G441*H441)</f>
        <v/>
      </c>
      <c r="L441" s="3">
        <f>IF(G441="","",Settings!$C$5)</f>
        <v/>
      </c>
      <c r="M441" s="3">
        <f>IF(G441="","",IF(F441="SELL",K441*IF(E441="Equity Intraday",Settings!$C$8,Settings!$C$7),0))</f>
        <v/>
      </c>
      <c r="N441" s="3">
        <f>IF(G441="","",K441*(Settings!$C$9+Settings!$C$10))</f>
        <v/>
      </c>
      <c r="O441" s="3">
        <f>IF(G441="","",IF(F441="BUY",K441*Settings!$C$11,0))</f>
        <v/>
      </c>
      <c r="P441" s="3">
        <f>IF(G441="","",L441*Settings!$C$6)</f>
        <v/>
      </c>
      <c r="Q441" s="3">
        <f>IF(G441="","",IF(AND(F441="SELL",E441="Equity Delivery"),Settings!$C$13,0))</f>
        <v/>
      </c>
      <c r="R441" s="3">
        <f>IF(G441="","",SUM(L441:Q441))</f>
        <v/>
      </c>
      <c r="S441" s="3">
        <f>IF(G441="","",IF(F441="BUY",-(K441+R441),K441-R441))</f>
        <v/>
      </c>
    </row>
    <row r="442">
      <c r="A442">
        <f>IF(G442="","",ROW()-1)</f>
        <v/>
      </c>
      <c r="B442" s="6" t="n"/>
      <c r="G442" s="3" t="n"/>
      <c r="H442" s="3" t="n"/>
      <c r="K442" s="3">
        <f>IF(G442="","",G442*H442)</f>
        <v/>
      </c>
      <c r="L442" s="3">
        <f>IF(G442="","",Settings!$C$5)</f>
        <v/>
      </c>
      <c r="M442" s="3">
        <f>IF(G442="","",IF(F442="SELL",K442*IF(E442="Equity Intraday",Settings!$C$8,Settings!$C$7),0))</f>
        <v/>
      </c>
      <c r="N442" s="3">
        <f>IF(G442="","",K442*(Settings!$C$9+Settings!$C$10))</f>
        <v/>
      </c>
      <c r="O442" s="3">
        <f>IF(G442="","",IF(F442="BUY",K442*Settings!$C$11,0))</f>
        <v/>
      </c>
      <c r="P442" s="3">
        <f>IF(G442="","",L442*Settings!$C$6)</f>
        <v/>
      </c>
      <c r="Q442" s="3">
        <f>IF(G442="","",IF(AND(F442="SELL",E442="Equity Delivery"),Settings!$C$13,0))</f>
        <v/>
      </c>
      <c r="R442" s="3">
        <f>IF(G442="","",SUM(L442:Q442))</f>
        <v/>
      </c>
      <c r="S442" s="3">
        <f>IF(G442="","",IF(F442="BUY",-(K442+R442),K442-R442))</f>
        <v/>
      </c>
    </row>
    <row r="443">
      <c r="A443">
        <f>IF(G443="","",ROW()-1)</f>
        <v/>
      </c>
      <c r="B443" s="6" t="n"/>
      <c r="G443" s="3" t="n"/>
      <c r="H443" s="3" t="n"/>
      <c r="K443" s="3">
        <f>IF(G443="","",G443*H443)</f>
        <v/>
      </c>
      <c r="L443" s="3">
        <f>IF(G443="","",Settings!$C$5)</f>
        <v/>
      </c>
      <c r="M443" s="3">
        <f>IF(G443="","",IF(F443="SELL",K443*IF(E443="Equity Intraday",Settings!$C$8,Settings!$C$7),0))</f>
        <v/>
      </c>
      <c r="N443" s="3">
        <f>IF(G443="","",K443*(Settings!$C$9+Settings!$C$10))</f>
        <v/>
      </c>
      <c r="O443" s="3">
        <f>IF(G443="","",IF(F443="BUY",K443*Settings!$C$11,0))</f>
        <v/>
      </c>
      <c r="P443" s="3">
        <f>IF(G443="","",L443*Settings!$C$6)</f>
        <v/>
      </c>
      <c r="Q443" s="3">
        <f>IF(G443="","",IF(AND(F443="SELL",E443="Equity Delivery"),Settings!$C$13,0))</f>
        <v/>
      </c>
      <c r="R443" s="3">
        <f>IF(G443="","",SUM(L443:Q443))</f>
        <v/>
      </c>
      <c r="S443" s="3">
        <f>IF(G443="","",IF(F443="BUY",-(K443+R443),K443-R443))</f>
        <v/>
      </c>
    </row>
    <row r="444">
      <c r="A444">
        <f>IF(G444="","",ROW()-1)</f>
        <v/>
      </c>
      <c r="B444" s="6" t="n"/>
      <c r="G444" s="3" t="n"/>
      <c r="H444" s="3" t="n"/>
      <c r="K444" s="3">
        <f>IF(G444="","",G444*H444)</f>
        <v/>
      </c>
      <c r="L444" s="3">
        <f>IF(G444="","",Settings!$C$5)</f>
        <v/>
      </c>
      <c r="M444" s="3">
        <f>IF(G444="","",IF(F444="SELL",K444*IF(E444="Equity Intraday",Settings!$C$8,Settings!$C$7),0))</f>
        <v/>
      </c>
      <c r="N444" s="3">
        <f>IF(G444="","",K444*(Settings!$C$9+Settings!$C$10))</f>
        <v/>
      </c>
      <c r="O444" s="3">
        <f>IF(G444="","",IF(F444="BUY",K444*Settings!$C$11,0))</f>
        <v/>
      </c>
      <c r="P444" s="3">
        <f>IF(G444="","",L444*Settings!$C$6)</f>
        <v/>
      </c>
      <c r="Q444" s="3">
        <f>IF(G444="","",IF(AND(F444="SELL",E444="Equity Delivery"),Settings!$C$13,0))</f>
        <v/>
      </c>
      <c r="R444" s="3">
        <f>IF(G444="","",SUM(L444:Q444))</f>
        <v/>
      </c>
      <c r="S444" s="3">
        <f>IF(G444="","",IF(F444="BUY",-(K444+R444),K444-R444))</f>
        <v/>
      </c>
    </row>
    <row r="445">
      <c r="A445">
        <f>IF(G445="","",ROW()-1)</f>
        <v/>
      </c>
      <c r="B445" s="6" t="n"/>
      <c r="G445" s="3" t="n"/>
      <c r="H445" s="3" t="n"/>
      <c r="K445" s="3">
        <f>IF(G445="","",G445*H445)</f>
        <v/>
      </c>
      <c r="L445" s="3">
        <f>IF(G445="","",Settings!$C$5)</f>
        <v/>
      </c>
      <c r="M445" s="3">
        <f>IF(G445="","",IF(F445="SELL",K445*IF(E445="Equity Intraday",Settings!$C$8,Settings!$C$7),0))</f>
        <v/>
      </c>
      <c r="N445" s="3">
        <f>IF(G445="","",K445*(Settings!$C$9+Settings!$C$10))</f>
        <v/>
      </c>
      <c r="O445" s="3">
        <f>IF(G445="","",IF(F445="BUY",K445*Settings!$C$11,0))</f>
        <v/>
      </c>
      <c r="P445" s="3">
        <f>IF(G445="","",L445*Settings!$C$6)</f>
        <v/>
      </c>
      <c r="Q445" s="3">
        <f>IF(G445="","",IF(AND(F445="SELL",E445="Equity Delivery"),Settings!$C$13,0))</f>
        <v/>
      </c>
      <c r="R445" s="3">
        <f>IF(G445="","",SUM(L445:Q445))</f>
        <v/>
      </c>
      <c r="S445" s="3">
        <f>IF(G445="","",IF(F445="BUY",-(K445+R445),K445-R445))</f>
        <v/>
      </c>
    </row>
    <row r="446">
      <c r="A446">
        <f>IF(G446="","",ROW()-1)</f>
        <v/>
      </c>
      <c r="B446" s="6" t="n"/>
      <c r="G446" s="3" t="n"/>
      <c r="H446" s="3" t="n"/>
      <c r="K446" s="3">
        <f>IF(G446="","",G446*H446)</f>
        <v/>
      </c>
      <c r="L446" s="3">
        <f>IF(G446="","",Settings!$C$5)</f>
        <v/>
      </c>
      <c r="M446" s="3">
        <f>IF(G446="","",IF(F446="SELL",K446*IF(E446="Equity Intraday",Settings!$C$8,Settings!$C$7),0))</f>
        <v/>
      </c>
      <c r="N446" s="3">
        <f>IF(G446="","",K446*(Settings!$C$9+Settings!$C$10))</f>
        <v/>
      </c>
      <c r="O446" s="3">
        <f>IF(G446="","",IF(F446="BUY",K446*Settings!$C$11,0))</f>
        <v/>
      </c>
      <c r="P446" s="3">
        <f>IF(G446="","",L446*Settings!$C$6)</f>
        <v/>
      </c>
      <c r="Q446" s="3">
        <f>IF(G446="","",IF(AND(F446="SELL",E446="Equity Delivery"),Settings!$C$13,0))</f>
        <v/>
      </c>
      <c r="R446" s="3">
        <f>IF(G446="","",SUM(L446:Q446))</f>
        <v/>
      </c>
      <c r="S446" s="3">
        <f>IF(G446="","",IF(F446="BUY",-(K446+R446),K446-R446))</f>
        <v/>
      </c>
    </row>
    <row r="447">
      <c r="A447">
        <f>IF(G447="","",ROW()-1)</f>
        <v/>
      </c>
      <c r="B447" s="6" t="n"/>
      <c r="G447" s="3" t="n"/>
      <c r="H447" s="3" t="n"/>
      <c r="K447" s="3">
        <f>IF(G447="","",G447*H447)</f>
        <v/>
      </c>
      <c r="L447" s="3">
        <f>IF(G447="","",Settings!$C$5)</f>
        <v/>
      </c>
      <c r="M447" s="3">
        <f>IF(G447="","",IF(F447="SELL",K447*IF(E447="Equity Intraday",Settings!$C$8,Settings!$C$7),0))</f>
        <v/>
      </c>
      <c r="N447" s="3">
        <f>IF(G447="","",K447*(Settings!$C$9+Settings!$C$10))</f>
        <v/>
      </c>
      <c r="O447" s="3">
        <f>IF(G447="","",IF(F447="BUY",K447*Settings!$C$11,0))</f>
        <v/>
      </c>
      <c r="P447" s="3">
        <f>IF(G447="","",L447*Settings!$C$6)</f>
        <v/>
      </c>
      <c r="Q447" s="3">
        <f>IF(G447="","",IF(AND(F447="SELL",E447="Equity Delivery"),Settings!$C$13,0))</f>
        <v/>
      </c>
      <c r="R447" s="3">
        <f>IF(G447="","",SUM(L447:Q447))</f>
        <v/>
      </c>
      <c r="S447" s="3">
        <f>IF(G447="","",IF(F447="BUY",-(K447+R447),K447-R447))</f>
        <v/>
      </c>
    </row>
    <row r="448">
      <c r="A448">
        <f>IF(G448="","",ROW()-1)</f>
        <v/>
      </c>
      <c r="B448" s="6" t="n"/>
      <c r="G448" s="3" t="n"/>
      <c r="H448" s="3" t="n"/>
      <c r="K448" s="3">
        <f>IF(G448="","",G448*H448)</f>
        <v/>
      </c>
      <c r="L448" s="3">
        <f>IF(G448="","",Settings!$C$5)</f>
        <v/>
      </c>
      <c r="M448" s="3">
        <f>IF(G448="","",IF(F448="SELL",K448*IF(E448="Equity Intraday",Settings!$C$8,Settings!$C$7),0))</f>
        <v/>
      </c>
      <c r="N448" s="3">
        <f>IF(G448="","",K448*(Settings!$C$9+Settings!$C$10))</f>
        <v/>
      </c>
      <c r="O448" s="3">
        <f>IF(G448="","",IF(F448="BUY",K448*Settings!$C$11,0))</f>
        <v/>
      </c>
      <c r="P448" s="3">
        <f>IF(G448="","",L448*Settings!$C$6)</f>
        <v/>
      </c>
      <c r="Q448" s="3">
        <f>IF(G448="","",IF(AND(F448="SELL",E448="Equity Delivery"),Settings!$C$13,0))</f>
        <v/>
      </c>
      <c r="R448" s="3">
        <f>IF(G448="","",SUM(L448:Q448))</f>
        <v/>
      </c>
      <c r="S448" s="3">
        <f>IF(G448="","",IF(F448="BUY",-(K448+R448),K448-R448))</f>
        <v/>
      </c>
    </row>
    <row r="449">
      <c r="A449">
        <f>IF(G449="","",ROW()-1)</f>
        <v/>
      </c>
      <c r="B449" s="6" t="n"/>
      <c r="G449" s="3" t="n"/>
      <c r="H449" s="3" t="n"/>
      <c r="K449" s="3">
        <f>IF(G449="","",G449*H449)</f>
        <v/>
      </c>
      <c r="L449" s="3">
        <f>IF(G449="","",Settings!$C$5)</f>
        <v/>
      </c>
      <c r="M449" s="3">
        <f>IF(G449="","",IF(F449="SELL",K449*IF(E449="Equity Intraday",Settings!$C$8,Settings!$C$7),0))</f>
        <v/>
      </c>
      <c r="N449" s="3">
        <f>IF(G449="","",K449*(Settings!$C$9+Settings!$C$10))</f>
        <v/>
      </c>
      <c r="O449" s="3">
        <f>IF(G449="","",IF(F449="BUY",K449*Settings!$C$11,0))</f>
        <v/>
      </c>
      <c r="P449" s="3">
        <f>IF(G449="","",L449*Settings!$C$6)</f>
        <v/>
      </c>
      <c r="Q449" s="3">
        <f>IF(G449="","",IF(AND(F449="SELL",E449="Equity Delivery"),Settings!$C$13,0))</f>
        <v/>
      </c>
      <c r="R449" s="3">
        <f>IF(G449="","",SUM(L449:Q449))</f>
        <v/>
      </c>
      <c r="S449" s="3">
        <f>IF(G449="","",IF(F449="BUY",-(K449+R449),K449-R449))</f>
        <v/>
      </c>
    </row>
    <row r="450">
      <c r="A450">
        <f>IF(G450="","",ROW()-1)</f>
        <v/>
      </c>
      <c r="B450" s="6" t="n"/>
      <c r="G450" s="3" t="n"/>
      <c r="H450" s="3" t="n"/>
      <c r="K450" s="3">
        <f>IF(G450="","",G450*H450)</f>
        <v/>
      </c>
      <c r="L450" s="3">
        <f>IF(G450="","",Settings!$C$5)</f>
        <v/>
      </c>
      <c r="M450" s="3">
        <f>IF(G450="","",IF(F450="SELL",K450*IF(E450="Equity Intraday",Settings!$C$8,Settings!$C$7),0))</f>
        <v/>
      </c>
      <c r="N450" s="3">
        <f>IF(G450="","",K450*(Settings!$C$9+Settings!$C$10))</f>
        <v/>
      </c>
      <c r="O450" s="3">
        <f>IF(G450="","",IF(F450="BUY",K450*Settings!$C$11,0))</f>
        <v/>
      </c>
      <c r="P450" s="3">
        <f>IF(G450="","",L450*Settings!$C$6)</f>
        <v/>
      </c>
      <c r="Q450" s="3">
        <f>IF(G450="","",IF(AND(F450="SELL",E450="Equity Delivery"),Settings!$C$13,0))</f>
        <v/>
      </c>
      <c r="R450" s="3">
        <f>IF(G450="","",SUM(L450:Q450))</f>
        <v/>
      </c>
      <c r="S450" s="3">
        <f>IF(G450="","",IF(F450="BUY",-(K450+R450),K450-R450))</f>
        <v/>
      </c>
    </row>
    <row r="451">
      <c r="A451">
        <f>IF(G451="","",ROW()-1)</f>
        <v/>
      </c>
      <c r="B451" s="6" t="n"/>
      <c r="G451" s="3" t="n"/>
      <c r="H451" s="3" t="n"/>
      <c r="K451" s="3">
        <f>IF(G451="","",G451*H451)</f>
        <v/>
      </c>
      <c r="L451" s="3">
        <f>IF(G451="","",Settings!$C$5)</f>
        <v/>
      </c>
      <c r="M451" s="3">
        <f>IF(G451="","",IF(F451="SELL",K451*IF(E451="Equity Intraday",Settings!$C$8,Settings!$C$7),0))</f>
        <v/>
      </c>
      <c r="N451" s="3">
        <f>IF(G451="","",K451*(Settings!$C$9+Settings!$C$10))</f>
        <v/>
      </c>
      <c r="O451" s="3">
        <f>IF(G451="","",IF(F451="BUY",K451*Settings!$C$11,0))</f>
        <v/>
      </c>
      <c r="P451" s="3">
        <f>IF(G451="","",L451*Settings!$C$6)</f>
        <v/>
      </c>
      <c r="Q451" s="3">
        <f>IF(G451="","",IF(AND(F451="SELL",E451="Equity Delivery"),Settings!$C$13,0))</f>
        <v/>
      </c>
      <c r="R451" s="3">
        <f>IF(G451="","",SUM(L451:Q451))</f>
        <v/>
      </c>
      <c r="S451" s="3">
        <f>IF(G451="","",IF(F451="BUY",-(K451+R451),K451-R451))</f>
        <v/>
      </c>
    </row>
    <row r="452">
      <c r="A452">
        <f>IF(G452="","",ROW()-1)</f>
        <v/>
      </c>
      <c r="B452" s="6" t="n"/>
      <c r="G452" s="3" t="n"/>
      <c r="H452" s="3" t="n"/>
      <c r="K452" s="3">
        <f>IF(G452="","",G452*H452)</f>
        <v/>
      </c>
      <c r="L452" s="3">
        <f>IF(G452="","",Settings!$C$5)</f>
        <v/>
      </c>
      <c r="M452" s="3">
        <f>IF(G452="","",IF(F452="SELL",K452*IF(E452="Equity Intraday",Settings!$C$8,Settings!$C$7),0))</f>
        <v/>
      </c>
      <c r="N452" s="3">
        <f>IF(G452="","",K452*(Settings!$C$9+Settings!$C$10))</f>
        <v/>
      </c>
      <c r="O452" s="3">
        <f>IF(G452="","",IF(F452="BUY",K452*Settings!$C$11,0))</f>
        <v/>
      </c>
      <c r="P452" s="3">
        <f>IF(G452="","",L452*Settings!$C$6)</f>
        <v/>
      </c>
      <c r="Q452" s="3">
        <f>IF(G452="","",IF(AND(F452="SELL",E452="Equity Delivery"),Settings!$C$13,0))</f>
        <v/>
      </c>
      <c r="R452" s="3">
        <f>IF(G452="","",SUM(L452:Q452))</f>
        <v/>
      </c>
      <c r="S452" s="3">
        <f>IF(G452="","",IF(F452="BUY",-(K452+R452),K452-R452))</f>
        <v/>
      </c>
    </row>
    <row r="453">
      <c r="A453">
        <f>IF(G453="","",ROW()-1)</f>
        <v/>
      </c>
      <c r="B453" s="6" t="n"/>
      <c r="G453" s="3" t="n"/>
      <c r="H453" s="3" t="n"/>
      <c r="K453" s="3">
        <f>IF(G453="","",G453*H453)</f>
        <v/>
      </c>
      <c r="L453" s="3">
        <f>IF(G453="","",Settings!$C$5)</f>
        <v/>
      </c>
      <c r="M453" s="3">
        <f>IF(G453="","",IF(F453="SELL",K453*IF(E453="Equity Intraday",Settings!$C$8,Settings!$C$7),0))</f>
        <v/>
      </c>
      <c r="N453" s="3">
        <f>IF(G453="","",K453*(Settings!$C$9+Settings!$C$10))</f>
        <v/>
      </c>
      <c r="O453" s="3">
        <f>IF(G453="","",IF(F453="BUY",K453*Settings!$C$11,0))</f>
        <v/>
      </c>
      <c r="P453" s="3">
        <f>IF(G453="","",L453*Settings!$C$6)</f>
        <v/>
      </c>
      <c r="Q453" s="3">
        <f>IF(G453="","",IF(AND(F453="SELL",E453="Equity Delivery"),Settings!$C$13,0))</f>
        <v/>
      </c>
      <c r="R453" s="3">
        <f>IF(G453="","",SUM(L453:Q453))</f>
        <v/>
      </c>
      <c r="S453" s="3">
        <f>IF(G453="","",IF(F453="BUY",-(K453+R453),K453-R453))</f>
        <v/>
      </c>
    </row>
    <row r="454">
      <c r="A454">
        <f>IF(G454="","",ROW()-1)</f>
        <v/>
      </c>
      <c r="B454" s="6" t="n"/>
      <c r="G454" s="3" t="n"/>
      <c r="H454" s="3" t="n"/>
      <c r="K454" s="3">
        <f>IF(G454="","",G454*H454)</f>
        <v/>
      </c>
      <c r="L454" s="3">
        <f>IF(G454="","",Settings!$C$5)</f>
        <v/>
      </c>
      <c r="M454" s="3">
        <f>IF(G454="","",IF(F454="SELL",K454*IF(E454="Equity Intraday",Settings!$C$8,Settings!$C$7),0))</f>
        <v/>
      </c>
      <c r="N454" s="3">
        <f>IF(G454="","",K454*(Settings!$C$9+Settings!$C$10))</f>
        <v/>
      </c>
      <c r="O454" s="3">
        <f>IF(G454="","",IF(F454="BUY",K454*Settings!$C$11,0))</f>
        <v/>
      </c>
      <c r="P454" s="3">
        <f>IF(G454="","",L454*Settings!$C$6)</f>
        <v/>
      </c>
      <c r="Q454" s="3">
        <f>IF(G454="","",IF(AND(F454="SELL",E454="Equity Delivery"),Settings!$C$13,0))</f>
        <v/>
      </c>
      <c r="R454" s="3">
        <f>IF(G454="","",SUM(L454:Q454))</f>
        <v/>
      </c>
      <c r="S454" s="3">
        <f>IF(G454="","",IF(F454="BUY",-(K454+R454),K454-R454))</f>
        <v/>
      </c>
    </row>
    <row r="455">
      <c r="A455">
        <f>IF(G455="","",ROW()-1)</f>
        <v/>
      </c>
      <c r="B455" s="6" t="n"/>
      <c r="G455" s="3" t="n"/>
      <c r="H455" s="3" t="n"/>
      <c r="K455" s="3">
        <f>IF(G455="","",G455*H455)</f>
        <v/>
      </c>
      <c r="L455" s="3">
        <f>IF(G455="","",Settings!$C$5)</f>
        <v/>
      </c>
      <c r="M455" s="3">
        <f>IF(G455="","",IF(F455="SELL",K455*IF(E455="Equity Intraday",Settings!$C$8,Settings!$C$7),0))</f>
        <v/>
      </c>
      <c r="N455" s="3">
        <f>IF(G455="","",K455*(Settings!$C$9+Settings!$C$10))</f>
        <v/>
      </c>
      <c r="O455" s="3">
        <f>IF(G455="","",IF(F455="BUY",K455*Settings!$C$11,0))</f>
        <v/>
      </c>
      <c r="P455" s="3">
        <f>IF(G455="","",L455*Settings!$C$6)</f>
        <v/>
      </c>
      <c r="Q455" s="3">
        <f>IF(G455="","",IF(AND(F455="SELL",E455="Equity Delivery"),Settings!$C$13,0))</f>
        <v/>
      </c>
      <c r="R455" s="3">
        <f>IF(G455="","",SUM(L455:Q455))</f>
        <v/>
      </c>
      <c r="S455" s="3">
        <f>IF(G455="","",IF(F455="BUY",-(K455+R455),K455-R455))</f>
        <v/>
      </c>
    </row>
    <row r="456">
      <c r="A456">
        <f>IF(G456="","",ROW()-1)</f>
        <v/>
      </c>
      <c r="B456" s="6" t="n"/>
      <c r="G456" s="3" t="n"/>
      <c r="H456" s="3" t="n"/>
      <c r="K456" s="3">
        <f>IF(G456="","",G456*H456)</f>
        <v/>
      </c>
      <c r="L456" s="3">
        <f>IF(G456="","",Settings!$C$5)</f>
        <v/>
      </c>
      <c r="M456" s="3">
        <f>IF(G456="","",IF(F456="SELL",K456*IF(E456="Equity Intraday",Settings!$C$8,Settings!$C$7),0))</f>
        <v/>
      </c>
      <c r="N456" s="3">
        <f>IF(G456="","",K456*(Settings!$C$9+Settings!$C$10))</f>
        <v/>
      </c>
      <c r="O456" s="3">
        <f>IF(G456="","",IF(F456="BUY",K456*Settings!$C$11,0))</f>
        <v/>
      </c>
      <c r="P456" s="3">
        <f>IF(G456="","",L456*Settings!$C$6)</f>
        <v/>
      </c>
      <c r="Q456" s="3">
        <f>IF(G456="","",IF(AND(F456="SELL",E456="Equity Delivery"),Settings!$C$13,0))</f>
        <v/>
      </c>
      <c r="R456" s="3">
        <f>IF(G456="","",SUM(L456:Q456))</f>
        <v/>
      </c>
      <c r="S456" s="3">
        <f>IF(G456="","",IF(F456="BUY",-(K456+R456),K456-R456))</f>
        <v/>
      </c>
    </row>
    <row r="457">
      <c r="A457">
        <f>IF(G457="","",ROW()-1)</f>
        <v/>
      </c>
      <c r="B457" s="6" t="n"/>
      <c r="G457" s="3" t="n"/>
      <c r="H457" s="3" t="n"/>
      <c r="K457" s="3">
        <f>IF(G457="","",G457*H457)</f>
        <v/>
      </c>
      <c r="L457" s="3">
        <f>IF(G457="","",Settings!$C$5)</f>
        <v/>
      </c>
      <c r="M457" s="3">
        <f>IF(G457="","",IF(F457="SELL",K457*IF(E457="Equity Intraday",Settings!$C$8,Settings!$C$7),0))</f>
        <v/>
      </c>
      <c r="N457" s="3">
        <f>IF(G457="","",K457*(Settings!$C$9+Settings!$C$10))</f>
        <v/>
      </c>
      <c r="O457" s="3">
        <f>IF(G457="","",IF(F457="BUY",K457*Settings!$C$11,0))</f>
        <v/>
      </c>
      <c r="P457" s="3">
        <f>IF(G457="","",L457*Settings!$C$6)</f>
        <v/>
      </c>
      <c r="Q457" s="3">
        <f>IF(G457="","",IF(AND(F457="SELL",E457="Equity Delivery"),Settings!$C$13,0))</f>
        <v/>
      </c>
      <c r="R457" s="3">
        <f>IF(G457="","",SUM(L457:Q457))</f>
        <v/>
      </c>
      <c r="S457" s="3">
        <f>IF(G457="","",IF(F457="BUY",-(K457+R457),K457-R457))</f>
        <v/>
      </c>
    </row>
    <row r="458">
      <c r="A458">
        <f>IF(G458="","",ROW()-1)</f>
        <v/>
      </c>
      <c r="B458" s="6" t="n"/>
      <c r="G458" s="3" t="n"/>
      <c r="H458" s="3" t="n"/>
      <c r="K458" s="3">
        <f>IF(G458="","",G458*H458)</f>
        <v/>
      </c>
      <c r="L458" s="3">
        <f>IF(G458="","",Settings!$C$5)</f>
        <v/>
      </c>
      <c r="M458" s="3">
        <f>IF(G458="","",IF(F458="SELL",K458*IF(E458="Equity Intraday",Settings!$C$8,Settings!$C$7),0))</f>
        <v/>
      </c>
      <c r="N458" s="3">
        <f>IF(G458="","",K458*(Settings!$C$9+Settings!$C$10))</f>
        <v/>
      </c>
      <c r="O458" s="3">
        <f>IF(G458="","",IF(F458="BUY",K458*Settings!$C$11,0))</f>
        <v/>
      </c>
      <c r="P458" s="3">
        <f>IF(G458="","",L458*Settings!$C$6)</f>
        <v/>
      </c>
      <c r="Q458" s="3">
        <f>IF(G458="","",IF(AND(F458="SELL",E458="Equity Delivery"),Settings!$C$13,0))</f>
        <v/>
      </c>
      <c r="R458" s="3">
        <f>IF(G458="","",SUM(L458:Q458))</f>
        <v/>
      </c>
      <c r="S458" s="3">
        <f>IF(G458="","",IF(F458="BUY",-(K458+R458),K458-R458))</f>
        <v/>
      </c>
    </row>
    <row r="459">
      <c r="A459">
        <f>IF(G459="","",ROW()-1)</f>
        <v/>
      </c>
      <c r="B459" s="6" t="n"/>
      <c r="G459" s="3" t="n"/>
      <c r="H459" s="3" t="n"/>
      <c r="K459" s="3">
        <f>IF(G459="","",G459*H459)</f>
        <v/>
      </c>
      <c r="L459" s="3">
        <f>IF(G459="","",Settings!$C$5)</f>
        <v/>
      </c>
      <c r="M459" s="3">
        <f>IF(G459="","",IF(F459="SELL",K459*IF(E459="Equity Intraday",Settings!$C$8,Settings!$C$7),0))</f>
        <v/>
      </c>
      <c r="N459" s="3">
        <f>IF(G459="","",K459*(Settings!$C$9+Settings!$C$10))</f>
        <v/>
      </c>
      <c r="O459" s="3">
        <f>IF(G459="","",IF(F459="BUY",K459*Settings!$C$11,0))</f>
        <v/>
      </c>
      <c r="P459" s="3">
        <f>IF(G459="","",L459*Settings!$C$6)</f>
        <v/>
      </c>
      <c r="Q459" s="3">
        <f>IF(G459="","",IF(AND(F459="SELL",E459="Equity Delivery"),Settings!$C$13,0))</f>
        <v/>
      </c>
      <c r="R459" s="3">
        <f>IF(G459="","",SUM(L459:Q459))</f>
        <v/>
      </c>
      <c r="S459" s="3">
        <f>IF(G459="","",IF(F459="BUY",-(K459+R459),K459-R459))</f>
        <v/>
      </c>
    </row>
    <row r="460">
      <c r="A460">
        <f>IF(G460="","",ROW()-1)</f>
        <v/>
      </c>
      <c r="B460" s="6" t="n"/>
      <c r="G460" s="3" t="n"/>
      <c r="H460" s="3" t="n"/>
      <c r="K460" s="3">
        <f>IF(G460="","",G460*H460)</f>
        <v/>
      </c>
      <c r="L460" s="3">
        <f>IF(G460="","",Settings!$C$5)</f>
        <v/>
      </c>
      <c r="M460" s="3">
        <f>IF(G460="","",IF(F460="SELL",K460*IF(E460="Equity Intraday",Settings!$C$8,Settings!$C$7),0))</f>
        <v/>
      </c>
      <c r="N460" s="3">
        <f>IF(G460="","",K460*(Settings!$C$9+Settings!$C$10))</f>
        <v/>
      </c>
      <c r="O460" s="3">
        <f>IF(G460="","",IF(F460="BUY",K460*Settings!$C$11,0))</f>
        <v/>
      </c>
      <c r="P460" s="3">
        <f>IF(G460="","",L460*Settings!$C$6)</f>
        <v/>
      </c>
      <c r="Q460" s="3">
        <f>IF(G460="","",IF(AND(F460="SELL",E460="Equity Delivery"),Settings!$C$13,0))</f>
        <v/>
      </c>
      <c r="R460" s="3">
        <f>IF(G460="","",SUM(L460:Q460))</f>
        <v/>
      </c>
      <c r="S460" s="3">
        <f>IF(G460="","",IF(F460="BUY",-(K460+R460),K460-R460))</f>
        <v/>
      </c>
    </row>
    <row r="461">
      <c r="A461">
        <f>IF(G461="","",ROW()-1)</f>
        <v/>
      </c>
      <c r="B461" s="6" t="n"/>
      <c r="G461" s="3" t="n"/>
      <c r="H461" s="3" t="n"/>
      <c r="K461" s="3">
        <f>IF(G461="","",G461*H461)</f>
        <v/>
      </c>
      <c r="L461" s="3">
        <f>IF(G461="","",Settings!$C$5)</f>
        <v/>
      </c>
      <c r="M461" s="3">
        <f>IF(G461="","",IF(F461="SELL",K461*IF(E461="Equity Intraday",Settings!$C$8,Settings!$C$7),0))</f>
        <v/>
      </c>
      <c r="N461" s="3">
        <f>IF(G461="","",K461*(Settings!$C$9+Settings!$C$10))</f>
        <v/>
      </c>
      <c r="O461" s="3">
        <f>IF(G461="","",IF(F461="BUY",K461*Settings!$C$11,0))</f>
        <v/>
      </c>
      <c r="P461" s="3">
        <f>IF(G461="","",L461*Settings!$C$6)</f>
        <v/>
      </c>
      <c r="Q461" s="3">
        <f>IF(G461="","",IF(AND(F461="SELL",E461="Equity Delivery"),Settings!$C$13,0))</f>
        <v/>
      </c>
      <c r="R461" s="3">
        <f>IF(G461="","",SUM(L461:Q461))</f>
        <v/>
      </c>
      <c r="S461" s="3">
        <f>IF(G461="","",IF(F461="BUY",-(K461+R461),K461-R461))</f>
        <v/>
      </c>
    </row>
    <row r="462">
      <c r="A462">
        <f>IF(G462="","",ROW()-1)</f>
        <v/>
      </c>
      <c r="B462" s="6" t="n"/>
      <c r="G462" s="3" t="n"/>
      <c r="H462" s="3" t="n"/>
      <c r="K462" s="3">
        <f>IF(G462="","",G462*H462)</f>
        <v/>
      </c>
      <c r="L462" s="3">
        <f>IF(G462="","",Settings!$C$5)</f>
        <v/>
      </c>
      <c r="M462" s="3">
        <f>IF(G462="","",IF(F462="SELL",K462*IF(E462="Equity Intraday",Settings!$C$8,Settings!$C$7),0))</f>
        <v/>
      </c>
      <c r="N462" s="3">
        <f>IF(G462="","",K462*(Settings!$C$9+Settings!$C$10))</f>
        <v/>
      </c>
      <c r="O462" s="3">
        <f>IF(G462="","",IF(F462="BUY",K462*Settings!$C$11,0))</f>
        <v/>
      </c>
      <c r="P462" s="3">
        <f>IF(G462="","",L462*Settings!$C$6)</f>
        <v/>
      </c>
      <c r="Q462" s="3">
        <f>IF(G462="","",IF(AND(F462="SELL",E462="Equity Delivery"),Settings!$C$13,0))</f>
        <v/>
      </c>
      <c r="R462" s="3">
        <f>IF(G462="","",SUM(L462:Q462))</f>
        <v/>
      </c>
      <c r="S462" s="3">
        <f>IF(G462="","",IF(F462="BUY",-(K462+R462),K462-R462))</f>
        <v/>
      </c>
    </row>
    <row r="463">
      <c r="A463">
        <f>IF(G463="","",ROW()-1)</f>
        <v/>
      </c>
      <c r="B463" s="6" t="n"/>
      <c r="G463" s="3" t="n"/>
      <c r="H463" s="3" t="n"/>
      <c r="K463" s="3">
        <f>IF(G463="","",G463*H463)</f>
        <v/>
      </c>
      <c r="L463" s="3">
        <f>IF(G463="","",Settings!$C$5)</f>
        <v/>
      </c>
      <c r="M463" s="3">
        <f>IF(G463="","",IF(F463="SELL",K463*IF(E463="Equity Intraday",Settings!$C$8,Settings!$C$7),0))</f>
        <v/>
      </c>
      <c r="N463" s="3">
        <f>IF(G463="","",K463*(Settings!$C$9+Settings!$C$10))</f>
        <v/>
      </c>
      <c r="O463" s="3">
        <f>IF(G463="","",IF(F463="BUY",K463*Settings!$C$11,0))</f>
        <v/>
      </c>
      <c r="P463" s="3">
        <f>IF(G463="","",L463*Settings!$C$6)</f>
        <v/>
      </c>
      <c r="Q463" s="3">
        <f>IF(G463="","",IF(AND(F463="SELL",E463="Equity Delivery"),Settings!$C$13,0))</f>
        <v/>
      </c>
      <c r="R463" s="3">
        <f>IF(G463="","",SUM(L463:Q463))</f>
        <v/>
      </c>
      <c r="S463" s="3">
        <f>IF(G463="","",IF(F463="BUY",-(K463+R463),K463-R463))</f>
        <v/>
      </c>
    </row>
    <row r="464">
      <c r="A464">
        <f>IF(G464="","",ROW()-1)</f>
        <v/>
      </c>
      <c r="B464" s="6" t="n"/>
      <c r="G464" s="3" t="n"/>
      <c r="H464" s="3" t="n"/>
      <c r="K464" s="3">
        <f>IF(G464="","",G464*H464)</f>
        <v/>
      </c>
      <c r="L464" s="3">
        <f>IF(G464="","",Settings!$C$5)</f>
        <v/>
      </c>
      <c r="M464" s="3">
        <f>IF(G464="","",IF(F464="SELL",K464*IF(E464="Equity Intraday",Settings!$C$8,Settings!$C$7),0))</f>
        <v/>
      </c>
      <c r="N464" s="3">
        <f>IF(G464="","",K464*(Settings!$C$9+Settings!$C$10))</f>
        <v/>
      </c>
      <c r="O464" s="3">
        <f>IF(G464="","",IF(F464="BUY",K464*Settings!$C$11,0))</f>
        <v/>
      </c>
      <c r="P464" s="3">
        <f>IF(G464="","",L464*Settings!$C$6)</f>
        <v/>
      </c>
      <c r="Q464" s="3">
        <f>IF(G464="","",IF(AND(F464="SELL",E464="Equity Delivery"),Settings!$C$13,0))</f>
        <v/>
      </c>
      <c r="R464" s="3">
        <f>IF(G464="","",SUM(L464:Q464))</f>
        <v/>
      </c>
      <c r="S464" s="3">
        <f>IF(G464="","",IF(F464="BUY",-(K464+R464),K464-R464))</f>
        <v/>
      </c>
    </row>
    <row r="465">
      <c r="A465">
        <f>IF(G465="","",ROW()-1)</f>
        <v/>
      </c>
      <c r="B465" s="6" t="n"/>
      <c r="G465" s="3" t="n"/>
      <c r="H465" s="3" t="n"/>
      <c r="K465" s="3">
        <f>IF(G465="","",G465*H465)</f>
        <v/>
      </c>
      <c r="L465" s="3">
        <f>IF(G465="","",Settings!$C$5)</f>
        <v/>
      </c>
      <c r="M465" s="3">
        <f>IF(G465="","",IF(F465="SELL",K465*IF(E465="Equity Intraday",Settings!$C$8,Settings!$C$7),0))</f>
        <v/>
      </c>
      <c r="N465" s="3">
        <f>IF(G465="","",K465*(Settings!$C$9+Settings!$C$10))</f>
        <v/>
      </c>
      <c r="O465" s="3">
        <f>IF(G465="","",IF(F465="BUY",K465*Settings!$C$11,0))</f>
        <v/>
      </c>
      <c r="P465" s="3">
        <f>IF(G465="","",L465*Settings!$C$6)</f>
        <v/>
      </c>
      <c r="Q465" s="3">
        <f>IF(G465="","",IF(AND(F465="SELL",E465="Equity Delivery"),Settings!$C$13,0))</f>
        <v/>
      </c>
      <c r="R465" s="3">
        <f>IF(G465="","",SUM(L465:Q465))</f>
        <v/>
      </c>
      <c r="S465" s="3">
        <f>IF(G465="","",IF(F465="BUY",-(K465+R465),K465-R465))</f>
        <v/>
      </c>
    </row>
    <row r="466">
      <c r="A466">
        <f>IF(G466="","",ROW()-1)</f>
        <v/>
      </c>
      <c r="B466" s="6" t="n"/>
      <c r="G466" s="3" t="n"/>
      <c r="H466" s="3" t="n"/>
      <c r="K466" s="3">
        <f>IF(G466="","",G466*H466)</f>
        <v/>
      </c>
      <c r="L466" s="3">
        <f>IF(G466="","",Settings!$C$5)</f>
        <v/>
      </c>
      <c r="M466" s="3">
        <f>IF(G466="","",IF(F466="SELL",K466*IF(E466="Equity Intraday",Settings!$C$8,Settings!$C$7),0))</f>
        <v/>
      </c>
      <c r="N466" s="3">
        <f>IF(G466="","",K466*(Settings!$C$9+Settings!$C$10))</f>
        <v/>
      </c>
      <c r="O466" s="3">
        <f>IF(G466="","",IF(F466="BUY",K466*Settings!$C$11,0))</f>
        <v/>
      </c>
      <c r="P466" s="3">
        <f>IF(G466="","",L466*Settings!$C$6)</f>
        <v/>
      </c>
      <c r="Q466" s="3">
        <f>IF(G466="","",IF(AND(F466="SELL",E466="Equity Delivery"),Settings!$C$13,0))</f>
        <v/>
      </c>
      <c r="R466" s="3">
        <f>IF(G466="","",SUM(L466:Q466))</f>
        <v/>
      </c>
      <c r="S466" s="3">
        <f>IF(G466="","",IF(F466="BUY",-(K466+R466),K466-R466))</f>
        <v/>
      </c>
    </row>
    <row r="467">
      <c r="A467">
        <f>IF(G467="","",ROW()-1)</f>
        <v/>
      </c>
      <c r="B467" s="6" t="n"/>
      <c r="G467" s="3" t="n"/>
      <c r="H467" s="3" t="n"/>
      <c r="K467" s="3">
        <f>IF(G467="","",G467*H467)</f>
        <v/>
      </c>
      <c r="L467" s="3">
        <f>IF(G467="","",Settings!$C$5)</f>
        <v/>
      </c>
      <c r="M467" s="3">
        <f>IF(G467="","",IF(F467="SELL",K467*IF(E467="Equity Intraday",Settings!$C$8,Settings!$C$7),0))</f>
        <v/>
      </c>
      <c r="N467" s="3">
        <f>IF(G467="","",K467*(Settings!$C$9+Settings!$C$10))</f>
        <v/>
      </c>
      <c r="O467" s="3">
        <f>IF(G467="","",IF(F467="BUY",K467*Settings!$C$11,0))</f>
        <v/>
      </c>
      <c r="P467" s="3">
        <f>IF(G467="","",L467*Settings!$C$6)</f>
        <v/>
      </c>
      <c r="Q467" s="3">
        <f>IF(G467="","",IF(AND(F467="SELL",E467="Equity Delivery"),Settings!$C$13,0))</f>
        <v/>
      </c>
      <c r="R467" s="3">
        <f>IF(G467="","",SUM(L467:Q467))</f>
        <v/>
      </c>
      <c r="S467" s="3">
        <f>IF(G467="","",IF(F467="BUY",-(K467+R467),K467-R467))</f>
        <v/>
      </c>
    </row>
    <row r="468">
      <c r="A468">
        <f>IF(G468="","",ROW()-1)</f>
        <v/>
      </c>
      <c r="B468" s="6" t="n"/>
      <c r="G468" s="3" t="n"/>
      <c r="H468" s="3" t="n"/>
      <c r="K468" s="3">
        <f>IF(G468="","",G468*H468)</f>
        <v/>
      </c>
      <c r="L468" s="3">
        <f>IF(G468="","",Settings!$C$5)</f>
        <v/>
      </c>
      <c r="M468" s="3">
        <f>IF(G468="","",IF(F468="SELL",K468*IF(E468="Equity Intraday",Settings!$C$8,Settings!$C$7),0))</f>
        <v/>
      </c>
      <c r="N468" s="3">
        <f>IF(G468="","",K468*(Settings!$C$9+Settings!$C$10))</f>
        <v/>
      </c>
      <c r="O468" s="3">
        <f>IF(G468="","",IF(F468="BUY",K468*Settings!$C$11,0))</f>
        <v/>
      </c>
      <c r="P468" s="3">
        <f>IF(G468="","",L468*Settings!$C$6)</f>
        <v/>
      </c>
      <c r="Q468" s="3">
        <f>IF(G468="","",IF(AND(F468="SELL",E468="Equity Delivery"),Settings!$C$13,0))</f>
        <v/>
      </c>
      <c r="R468" s="3">
        <f>IF(G468="","",SUM(L468:Q468))</f>
        <v/>
      </c>
      <c r="S468" s="3">
        <f>IF(G468="","",IF(F468="BUY",-(K468+R468),K468-R468))</f>
        <v/>
      </c>
    </row>
    <row r="469">
      <c r="A469">
        <f>IF(G469="","",ROW()-1)</f>
        <v/>
      </c>
      <c r="B469" s="6" t="n"/>
      <c r="G469" s="3" t="n"/>
      <c r="H469" s="3" t="n"/>
      <c r="K469" s="3">
        <f>IF(G469="","",G469*H469)</f>
        <v/>
      </c>
      <c r="L469" s="3">
        <f>IF(G469="","",Settings!$C$5)</f>
        <v/>
      </c>
      <c r="M469" s="3">
        <f>IF(G469="","",IF(F469="SELL",K469*IF(E469="Equity Intraday",Settings!$C$8,Settings!$C$7),0))</f>
        <v/>
      </c>
      <c r="N469" s="3">
        <f>IF(G469="","",K469*(Settings!$C$9+Settings!$C$10))</f>
        <v/>
      </c>
      <c r="O469" s="3">
        <f>IF(G469="","",IF(F469="BUY",K469*Settings!$C$11,0))</f>
        <v/>
      </c>
      <c r="P469" s="3">
        <f>IF(G469="","",L469*Settings!$C$6)</f>
        <v/>
      </c>
      <c r="Q469" s="3">
        <f>IF(G469="","",IF(AND(F469="SELL",E469="Equity Delivery"),Settings!$C$13,0))</f>
        <v/>
      </c>
      <c r="R469" s="3">
        <f>IF(G469="","",SUM(L469:Q469))</f>
        <v/>
      </c>
      <c r="S469" s="3">
        <f>IF(G469="","",IF(F469="BUY",-(K469+R469),K469-R469))</f>
        <v/>
      </c>
    </row>
    <row r="470">
      <c r="A470">
        <f>IF(G470="","",ROW()-1)</f>
        <v/>
      </c>
      <c r="B470" s="6" t="n"/>
      <c r="G470" s="3" t="n"/>
      <c r="H470" s="3" t="n"/>
      <c r="K470" s="3">
        <f>IF(G470="","",G470*H470)</f>
        <v/>
      </c>
      <c r="L470" s="3">
        <f>IF(G470="","",Settings!$C$5)</f>
        <v/>
      </c>
      <c r="M470" s="3">
        <f>IF(G470="","",IF(F470="SELL",K470*IF(E470="Equity Intraday",Settings!$C$8,Settings!$C$7),0))</f>
        <v/>
      </c>
      <c r="N470" s="3">
        <f>IF(G470="","",K470*(Settings!$C$9+Settings!$C$10))</f>
        <v/>
      </c>
      <c r="O470" s="3">
        <f>IF(G470="","",IF(F470="BUY",K470*Settings!$C$11,0))</f>
        <v/>
      </c>
      <c r="P470" s="3">
        <f>IF(G470="","",L470*Settings!$C$6)</f>
        <v/>
      </c>
      <c r="Q470" s="3">
        <f>IF(G470="","",IF(AND(F470="SELL",E470="Equity Delivery"),Settings!$C$13,0))</f>
        <v/>
      </c>
      <c r="R470" s="3">
        <f>IF(G470="","",SUM(L470:Q470))</f>
        <v/>
      </c>
      <c r="S470" s="3">
        <f>IF(G470="","",IF(F470="BUY",-(K470+R470),K470-R470))</f>
        <v/>
      </c>
    </row>
    <row r="471">
      <c r="A471">
        <f>IF(G471="","",ROW()-1)</f>
        <v/>
      </c>
      <c r="B471" s="6" t="n"/>
      <c r="G471" s="3" t="n"/>
      <c r="H471" s="3" t="n"/>
      <c r="K471" s="3">
        <f>IF(G471="","",G471*H471)</f>
        <v/>
      </c>
      <c r="L471" s="3">
        <f>IF(G471="","",Settings!$C$5)</f>
        <v/>
      </c>
      <c r="M471" s="3">
        <f>IF(G471="","",IF(F471="SELL",K471*IF(E471="Equity Intraday",Settings!$C$8,Settings!$C$7),0))</f>
        <v/>
      </c>
      <c r="N471" s="3">
        <f>IF(G471="","",K471*(Settings!$C$9+Settings!$C$10))</f>
        <v/>
      </c>
      <c r="O471" s="3">
        <f>IF(G471="","",IF(F471="BUY",K471*Settings!$C$11,0))</f>
        <v/>
      </c>
      <c r="P471" s="3">
        <f>IF(G471="","",L471*Settings!$C$6)</f>
        <v/>
      </c>
      <c r="Q471" s="3">
        <f>IF(G471="","",IF(AND(F471="SELL",E471="Equity Delivery"),Settings!$C$13,0))</f>
        <v/>
      </c>
      <c r="R471" s="3">
        <f>IF(G471="","",SUM(L471:Q471))</f>
        <v/>
      </c>
      <c r="S471" s="3">
        <f>IF(G471="","",IF(F471="BUY",-(K471+R471),K471-R471))</f>
        <v/>
      </c>
    </row>
    <row r="472">
      <c r="A472">
        <f>IF(G472="","",ROW()-1)</f>
        <v/>
      </c>
      <c r="B472" s="6" t="n"/>
      <c r="G472" s="3" t="n"/>
      <c r="H472" s="3" t="n"/>
      <c r="K472" s="3">
        <f>IF(G472="","",G472*H472)</f>
        <v/>
      </c>
      <c r="L472" s="3">
        <f>IF(G472="","",Settings!$C$5)</f>
        <v/>
      </c>
      <c r="M472" s="3">
        <f>IF(G472="","",IF(F472="SELL",K472*IF(E472="Equity Intraday",Settings!$C$8,Settings!$C$7),0))</f>
        <v/>
      </c>
      <c r="N472" s="3">
        <f>IF(G472="","",K472*(Settings!$C$9+Settings!$C$10))</f>
        <v/>
      </c>
      <c r="O472" s="3">
        <f>IF(G472="","",IF(F472="BUY",K472*Settings!$C$11,0))</f>
        <v/>
      </c>
      <c r="P472" s="3">
        <f>IF(G472="","",L472*Settings!$C$6)</f>
        <v/>
      </c>
      <c r="Q472" s="3">
        <f>IF(G472="","",IF(AND(F472="SELL",E472="Equity Delivery"),Settings!$C$13,0))</f>
        <v/>
      </c>
      <c r="R472" s="3">
        <f>IF(G472="","",SUM(L472:Q472))</f>
        <v/>
      </c>
      <c r="S472" s="3">
        <f>IF(G472="","",IF(F472="BUY",-(K472+R472),K472-R472))</f>
        <v/>
      </c>
    </row>
    <row r="473">
      <c r="A473">
        <f>IF(G473="","",ROW()-1)</f>
        <v/>
      </c>
      <c r="B473" s="6" t="n"/>
      <c r="G473" s="3" t="n"/>
      <c r="H473" s="3" t="n"/>
      <c r="K473" s="3">
        <f>IF(G473="","",G473*H473)</f>
        <v/>
      </c>
      <c r="L473" s="3">
        <f>IF(G473="","",Settings!$C$5)</f>
        <v/>
      </c>
      <c r="M473" s="3">
        <f>IF(G473="","",IF(F473="SELL",K473*IF(E473="Equity Intraday",Settings!$C$8,Settings!$C$7),0))</f>
        <v/>
      </c>
      <c r="N473" s="3">
        <f>IF(G473="","",K473*(Settings!$C$9+Settings!$C$10))</f>
        <v/>
      </c>
      <c r="O473" s="3">
        <f>IF(G473="","",IF(F473="BUY",K473*Settings!$C$11,0))</f>
        <v/>
      </c>
      <c r="P473" s="3">
        <f>IF(G473="","",L473*Settings!$C$6)</f>
        <v/>
      </c>
      <c r="Q473" s="3">
        <f>IF(G473="","",IF(AND(F473="SELL",E473="Equity Delivery"),Settings!$C$13,0))</f>
        <v/>
      </c>
      <c r="R473" s="3">
        <f>IF(G473="","",SUM(L473:Q473))</f>
        <v/>
      </c>
      <c r="S473" s="3">
        <f>IF(G473="","",IF(F473="BUY",-(K473+R473),K473-R473))</f>
        <v/>
      </c>
    </row>
    <row r="474">
      <c r="A474">
        <f>IF(G474="","",ROW()-1)</f>
        <v/>
      </c>
      <c r="B474" s="6" t="n"/>
      <c r="G474" s="3" t="n"/>
      <c r="H474" s="3" t="n"/>
      <c r="K474" s="3">
        <f>IF(G474="","",G474*H474)</f>
        <v/>
      </c>
      <c r="L474" s="3">
        <f>IF(G474="","",Settings!$C$5)</f>
        <v/>
      </c>
      <c r="M474" s="3">
        <f>IF(G474="","",IF(F474="SELL",K474*IF(E474="Equity Intraday",Settings!$C$8,Settings!$C$7),0))</f>
        <v/>
      </c>
      <c r="N474" s="3">
        <f>IF(G474="","",K474*(Settings!$C$9+Settings!$C$10))</f>
        <v/>
      </c>
      <c r="O474" s="3">
        <f>IF(G474="","",IF(F474="BUY",K474*Settings!$C$11,0))</f>
        <v/>
      </c>
      <c r="P474" s="3">
        <f>IF(G474="","",L474*Settings!$C$6)</f>
        <v/>
      </c>
      <c r="Q474" s="3">
        <f>IF(G474="","",IF(AND(F474="SELL",E474="Equity Delivery"),Settings!$C$13,0))</f>
        <v/>
      </c>
      <c r="R474" s="3">
        <f>IF(G474="","",SUM(L474:Q474))</f>
        <v/>
      </c>
      <c r="S474" s="3">
        <f>IF(G474="","",IF(F474="BUY",-(K474+R474),K474-R474))</f>
        <v/>
      </c>
    </row>
    <row r="475">
      <c r="A475">
        <f>IF(G475="","",ROW()-1)</f>
        <v/>
      </c>
      <c r="B475" s="6" t="n"/>
      <c r="G475" s="3" t="n"/>
      <c r="H475" s="3" t="n"/>
      <c r="K475" s="3">
        <f>IF(G475="","",G475*H475)</f>
        <v/>
      </c>
      <c r="L475" s="3">
        <f>IF(G475="","",Settings!$C$5)</f>
        <v/>
      </c>
      <c r="M475" s="3">
        <f>IF(G475="","",IF(F475="SELL",K475*IF(E475="Equity Intraday",Settings!$C$8,Settings!$C$7),0))</f>
        <v/>
      </c>
      <c r="N475" s="3">
        <f>IF(G475="","",K475*(Settings!$C$9+Settings!$C$10))</f>
        <v/>
      </c>
      <c r="O475" s="3">
        <f>IF(G475="","",IF(F475="BUY",K475*Settings!$C$11,0))</f>
        <v/>
      </c>
      <c r="P475" s="3">
        <f>IF(G475="","",L475*Settings!$C$6)</f>
        <v/>
      </c>
      <c r="Q475" s="3">
        <f>IF(G475="","",IF(AND(F475="SELL",E475="Equity Delivery"),Settings!$C$13,0))</f>
        <v/>
      </c>
      <c r="R475" s="3">
        <f>IF(G475="","",SUM(L475:Q475))</f>
        <v/>
      </c>
      <c r="S475" s="3">
        <f>IF(G475="","",IF(F475="BUY",-(K475+R475),K475-R475))</f>
        <v/>
      </c>
    </row>
    <row r="476">
      <c r="A476">
        <f>IF(G476="","",ROW()-1)</f>
        <v/>
      </c>
      <c r="B476" s="6" t="n"/>
      <c r="G476" s="3" t="n"/>
      <c r="H476" s="3" t="n"/>
      <c r="K476" s="3">
        <f>IF(G476="","",G476*H476)</f>
        <v/>
      </c>
      <c r="L476" s="3">
        <f>IF(G476="","",Settings!$C$5)</f>
        <v/>
      </c>
      <c r="M476" s="3">
        <f>IF(G476="","",IF(F476="SELL",K476*IF(E476="Equity Intraday",Settings!$C$8,Settings!$C$7),0))</f>
        <v/>
      </c>
      <c r="N476" s="3">
        <f>IF(G476="","",K476*(Settings!$C$9+Settings!$C$10))</f>
        <v/>
      </c>
      <c r="O476" s="3">
        <f>IF(G476="","",IF(F476="BUY",K476*Settings!$C$11,0))</f>
        <v/>
      </c>
      <c r="P476" s="3">
        <f>IF(G476="","",L476*Settings!$C$6)</f>
        <v/>
      </c>
      <c r="Q476" s="3">
        <f>IF(G476="","",IF(AND(F476="SELL",E476="Equity Delivery"),Settings!$C$13,0))</f>
        <v/>
      </c>
      <c r="R476" s="3">
        <f>IF(G476="","",SUM(L476:Q476))</f>
        <v/>
      </c>
      <c r="S476" s="3">
        <f>IF(G476="","",IF(F476="BUY",-(K476+R476),K476-R476))</f>
        <v/>
      </c>
    </row>
    <row r="477">
      <c r="A477">
        <f>IF(G477="","",ROW()-1)</f>
        <v/>
      </c>
      <c r="B477" s="6" t="n"/>
      <c r="G477" s="3" t="n"/>
      <c r="H477" s="3" t="n"/>
      <c r="K477" s="3">
        <f>IF(G477="","",G477*H477)</f>
        <v/>
      </c>
      <c r="L477" s="3">
        <f>IF(G477="","",Settings!$C$5)</f>
        <v/>
      </c>
      <c r="M477" s="3">
        <f>IF(G477="","",IF(F477="SELL",K477*IF(E477="Equity Intraday",Settings!$C$8,Settings!$C$7),0))</f>
        <v/>
      </c>
      <c r="N477" s="3">
        <f>IF(G477="","",K477*(Settings!$C$9+Settings!$C$10))</f>
        <v/>
      </c>
      <c r="O477" s="3">
        <f>IF(G477="","",IF(F477="BUY",K477*Settings!$C$11,0))</f>
        <v/>
      </c>
      <c r="P477" s="3">
        <f>IF(G477="","",L477*Settings!$C$6)</f>
        <v/>
      </c>
      <c r="Q477" s="3">
        <f>IF(G477="","",IF(AND(F477="SELL",E477="Equity Delivery"),Settings!$C$13,0))</f>
        <v/>
      </c>
      <c r="R477" s="3">
        <f>IF(G477="","",SUM(L477:Q477))</f>
        <v/>
      </c>
      <c r="S477" s="3">
        <f>IF(G477="","",IF(F477="BUY",-(K477+R477),K477-R477))</f>
        <v/>
      </c>
    </row>
    <row r="478">
      <c r="A478">
        <f>IF(G478="","",ROW()-1)</f>
        <v/>
      </c>
      <c r="B478" s="6" t="n"/>
      <c r="G478" s="3" t="n"/>
      <c r="H478" s="3" t="n"/>
      <c r="K478" s="3">
        <f>IF(G478="","",G478*H478)</f>
        <v/>
      </c>
      <c r="L478" s="3">
        <f>IF(G478="","",Settings!$C$5)</f>
        <v/>
      </c>
      <c r="M478" s="3">
        <f>IF(G478="","",IF(F478="SELL",K478*IF(E478="Equity Intraday",Settings!$C$8,Settings!$C$7),0))</f>
        <v/>
      </c>
      <c r="N478" s="3">
        <f>IF(G478="","",K478*(Settings!$C$9+Settings!$C$10))</f>
        <v/>
      </c>
      <c r="O478" s="3">
        <f>IF(G478="","",IF(F478="BUY",K478*Settings!$C$11,0))</f>
        <v/>
      </c>
      <c r="P478" s="3">
        <f>IF(G478="","",L478*Settings!$C$6)</f>
        <v/>
      </c>
      <c r="Q478" s="3">
        <f>IF(G478="","",IF(AND(F478="SELL",E478="Equity Delivery"),Settings!$C$13,0))</f>
        <v/>
      </c>
      <c r="R478" s="3">
        <f>IF(G478="","",SUM(L478:Q478))</f>
        <v/>
      </c>
      <c r="S478" s="3">
        <f>IF(G478="","",IF(F478="BUY",-(K478+R478),K478-R478))</f>
        <v/>
      </c>
    </row>
    <row r="479">
      <c r="A479">
        <f>IF(G479="","",ROW()-1)</f>
        <v/>
      </c>
      <c r="B479" s="6" t="n"/>
      <c r="G479" s="3" t="n"/>
      <c r="H479" s="3" t="n"/>
      <c r="K479" s="3">
        <f>IF(G479="","",G479*H479)</f>
        <v/>
      </c>
      <c r="L479" s="3">
        <f>IF(G479="","",Settings!$C$5)</f>
        <v/>
      </c>
      <c r="M479" s="3">
        <f>IF(G479="","",IF(F479="SELL",K479*IF(E479="Equity Intraday",Settings!$C$8,Settings!$C$7),0))</f>
        <v/>
      </c>
      <c r="N479" s="3">
        <f>IF(G479="","",K479*(Settings!$C$9+Settings!$C$10))</f>
        <v/>
      </c>
      <c r="O479" s="3">
        <f>IF(G479="","",IF(F479="BUY",K479*Settings!$C$11,0))</f>
        <v/>
      </c>
      <c r="P479" s="3">
        <f>IF(G479="","",L479*Settings!$C$6)</f>
        <v/>
      </c>
      <c r="Q479" s="3">
        <f>IF(G479="","",IF(AND(F479="SELL",E479="Equity Delivery"),Settings!$C$13,0))</f>
        <v/>
      </c>
      <c r="R479" s="3">
        <f>IF(G479="","",SUM(L479:Q479))</f>
        <v/>
      </c>
      <c r="S479" s="3">
        <f>IF(G479="","",IF(F479="BUY",-(K479+R479),K479-R479))</f>
        <v/>
      </c>
    </row>
    <row r="480">
      <c r="A480">
        <f>IF(G480="","",ROW()-1)</f>
        <v/>
      </c>
      <c r="B480" s="6" t="n"/>
      <c r="G480" s="3" t="n"/>
      <c r="H480" s="3" t="n"/>
      <c r="K480" s="3">
        <f>IF(G480="","",G480*H480)</f>
        <v/>
      </c>
      <c r="L480" s="3">
        <f>IF(G480="","",Settings!$C$5)</f>
        <v/>
      </c>
      <c r="M480" s="3">
        <f>IF(G480="","",IF(F480="SELL",K480*IF(E480="Equity Intraday",Settings!$C$8,Settings!$C$7),0))</f>
        <v/>
      </c>
      <c r="N480" s="3">
        <f>IF(G480="","",K480*(Settings!$C$9+Settings!$C$10))</f>
        <v/>
      </c>
      <c r="O480" s="3">
        <f>IF(G480="","",IF(F480="BUY",K480*Settings!$C$11,0))</f>
        <v/>
      </c>
      <c r="P480" s="3">
        <f>IF(G480="","",L480*Settings!$C$6)</f>
        <v/>
      </c>
      <c r="Q480" s="3">
        <f>IF(G480="","",IF(AND(F480="SELL",E480="Equity Delivery"),Settings!$C$13,0))</f>
        <v/>
      </c>
      <c r="R480" s="3">
        <f>IF(G480="","",SUM(L480:Q480))</f>
        <v/>
      </c>
      <c r="S480" s="3">
        <f>IF(G480="","",IF(F480="BUY",-(K480+R480),K480-R480))</f>
        <v/>
      </c>
    </row>
    <row r="481">
      <c r="A481">
        <f>IF(G481="","",ROW()-1)</f>
        <v/>
      </c>
      <c r="B481" s="6" t="n"/>
      <c r="G481" s="3" t="n"/>
      <c r="H481" s="3" t="n"/>
      <c r="K481" s="3">
        <f>IF(G481="","",G481*H481)</f>
        <v/>
      </c>
      <c r="L481" s="3">
        <f>IF(G481="","",Settings!$C$5)</f>
        <v/>
      </c>
      <c r="M481" s="3">
        <f>IF(G481="","",IF(F481="SELL",K481*IF(E481="Equity Intraday",Settings!$C$8,Settings!$C$7),0))</f>
        <v/>
      </c>
      <c r="N481" s="3">
        <f>IF(G481="","",K481*(Settings!$C$9+Settings!$C$10))</f>
        <v/>
      </c>
      <c r="O481" s="3">
        <f>IF(G481="","",IF(F481="BUY",K481*Settings!$C$11,0))</f>
        <v/>
      </c>
      <c r="P481" s="3">
        <f>IF(G481="","",L481*Settings!$C$6)</f>
        <v/>
      </c>
      <c r="Q481" s="3">
        <f>IF(G481="","",IF(AND(F481="SELL",E481="Equity Delivery"),Settings!$C$13,0))</f>
        <v/>
      </c>
      <c r="R481" s="3">
        <f>IF(G481="","",SUM(L481:Q481))</f>
        <v/>
      </c>
      <c r="S481" s="3">
        <f>IF(G481="","",IF(F481="BUY",-(K481+R481),K481-R481))</f>
        <v/>
      </c>
    </row>
    <row r="482">
      <c r="A482">
        <f>IF(G482="","",ROW()-1)</f>
        <v/>
      </c>
      <c r="B482" s="6" t="n"/>
      <c r="G482" s="3" t="n"/>
      <c r="H482" s="3" t="n"/>
      <c r="K482" s="3">
        <f>IF(G482="","",G482*H482)</f>
        <v/>
      </c>
      <c r="L482" s="3">
        <f>IF(G482="","",Settings!$C$5)</f>
        <v/>
      </c>
      <c r="M482" s="3">
        <f>IF(G482="","",IF(F482="SELL",K482*IF(E482="Equity Intraday",Settings!$C$8,Settings!$C$7),0))</f>
        <v/>
      </c>
      <c r="N482" s="3">
        <f>IF(G482="","",K482*(Settings!$C$9+Settings!$C$10))</f>
        <v/>
      </c>
      <c r="O482" s="3">
        <f>IF(G482="","",IF(F482="BUY",K482*Settings!$C$11,0))</f>
        <v/>
      </c>
      <c r="P482" s="3">
        <f>IF(G482="","",L482*Settings!$C$6)</f>
        <v/>
      </c>
      <c r="Q482" s="3">
        <f>IF(G482="","",IF(AND(F482="SELL",E482="Equity Delivery"),Settings!$C$13,0))</f>
        <v/>
      </c>
      <c r="R482" s="3">
        <f>IF(G482="","",SUM(L482:Q482))</f>
        <v/>
      </c>
      <c r="S482" s="3">
        <f>IF(G482="","",IF(F482="BUY",-(K482+R482),K482-R482))</f>
        <v/>
      </c>
    </row>
    <row r="483">
      <c r="A483">
        <f>IF(G483="","",ROW()-1)</f>
        <v/>
      </c>
      <c r="B483" s="6" t="n"/>
      <c r="G483" s="3" t="n"/>
      <c r="H483" s="3" t="n"/>
      <c r="K483" s="3">
        <f>IF(G483="","",G483*H483)</f>
        <v/>
      </c>
      <c r="L483" s="3">
        <f>IF(G483="","",Settings!$C$5)</f>
        <v/>
      </c>
      <c r="M483" s="3">
        <f>IF(G483="","",IF(F483="SELL",K483*IF(E483="Equity Intraday",Settings!$C$8,Settings!$C$7),0))</f>
        <v/>
      </c>
      <c r="N483" s="3">
        <f>IF(G483="","",K483*(Settings!$C$9+Settings!$C$10))</f>
        <v/>
      </c>
      <c r="O483" s="3">
        <f>IF(G483="","",IF(F483="BUY",K483*Settings!$C$11,0))</f>
        <v/>
      </c>
      <c r="P483" s="3">
        <f>IF(G483="","",L483*Settings!$C$6)</f>
        <v/>
      </c>
      <c r="Q483" s="3">
        <f>IF(G483="","",IF(AND(F483="SELL",E483="Equity Delivery"),Settings!$C$13,0))</f>
        <v/>
      </c>
      <c r="R483" s="3">
        <f>IF(G483="","",SUM(L483:Q483))</f>
        <v/>
      </c>
      <c r="S483" s="3">
        <f>IF(G483="","",IF(F483="BUY",-(K483+R483),K483-R483))</f>
        <v/>
      </c>
    </row>
    <row r="484">
      <c r="A484">
        <f>IF(G484="","",ROW()-1)</f>
        <v/>
      </c>
      <c r="B484" s="6" t="n"/>
      <c r="G484" s="3" t="n"/>
      <c r="H484" s="3" t="n"/>
      <c r="K484" s="3">
        <f>IF(G484="","",G484*H484)</f>
        <v/>
      </c>
      <c r="L484" s="3">
        <f>IF(G484="","",Settings!$C$5)</f>
        <v/>
      </c>
      <c r="M484" s="3">
        <f>IF(G484="","",IF(F484="SELL",K484*IF(E484="Equity Intraday",Settings!$C$8,Settings!$C$7),0))</f>
        <v/>
      </c>
      <c r="N484" s="3">
        <f>IF(G484="","",K484*(Settings!$C$9+Settings!$C$10))</f>
        <v/>
      </c>
      <c r="O484" s="3">
        <f>IF(G484="","",IF(F484="BUY",K484*Settings!$C$11,0))</f>
        <v/>
      </c>
      <c r="P484" s="3">
        <f>IF(G484="","",L484*Settings!$C$6)</f>
        <v/>
      </c>
      <c r="Q484" s="3">
        <f>IF(G484="","",IF(AND(F484="SELL",E484="Equity Delivery"),Settings!$C$13,0))</f>
        <v/>
      </c>
      <c r="R484" s="3">
        <f>IF(G484="","",SUM(L484:Q484))</f>
        <v/>
      </c>
      <c r="S484" s="3">
        <f>IF(G484="","",IF(F484="BUY",-(K484+R484),K484-R484))</f>
        <v/>
      </c>
    </row>
    <row r="485">
      <c r="A485">
        <f>IF(G485="","",ROW()-1)</f>
        <v/>
      </c>
      <c r="B485" s="6" t="n"/>
      <c r="G485" s="3" t="n"/>
      <c r="H485" s="3" t="n"/>
      <c r="K485" s="3">
        <f>IF(G485="","",G485*H485)</f>
        <v/>
      </c>
      <c r="L485" s="3">
        <f>IF(G485="","",Settings!$C$5)</f>
        <v/>
      </c>
      <c r="M485" s="3">
        <f>IF(G485="","",IF(F485="SELL",K485*IF(E485="Equity Intraday",Settings!$C$8,Settings!$C$7),0))</f>
        <v/>
      </c>
      <c r="N485" s="3">
        <f>IF(G485="","",K485*(Settings!$C$9+Settings!$C$10))</f>
        <v/>
      </c>
      <c r="O485" s="3">
        <f>IF(G485="","",IF(F485="BUY",K485*Settings!$C$11,0))</f>
        <v/>
      </c>
      <c r="P485" s="3">
        <f>IF(G485="","",L485*Settings!$C$6)</f>
        <v/>
      </c>
      <c r="Q485" s="3">
        <f>IF(G485="","",IF(AND(F485="SELL",E485="Equity Delivery"),Settings!$C$13,0))</f>
        <v/>
      </c>
      <c r="R485" s="3">
        <f>IF(G485="","",SUM(L485:Q485))</f>
        <v/>
      </c>
      <c r="S485" s="3">
        <f>IF(G485="","",IF(F485="BUY",-(K485+R485),K485-R485))</f>
        <v/>
      </c>
    </row>
    <row r="486">
      <c r="A486">
        <f>IF(G486="","",ROW()-1)</f>
        <v/>
      </c>
      <c r="B486" s="6" t="n"/>
      <c r="G486" s="3" t="n"/>
      <c r="H486" s="3" t="n"/>
      <c r="K486" s="3">
        <f>IF(G486="","",G486*H486)</f>
        <v/>
      </c>
      <c r="L486" s="3">
        <f>IF(G486="","",Settings!$C$5)</f>
        <v/>
      </c>
      <c r="M486" s="3">
        <f>IF(G486="","",IF(F486="SELL",K486*IF(E486="Equity Intraday",Settings!$C$8,Settings!$C$7),0))</f>
        <v/>
      </c>
      <c r="N486" s="3">
        <f>IF(G486="","",K486*(Settings!$C$9+Settings!$C$10))</f>
        <v/>
      </c>
      <c r="O486" s="3">
        <f>IF(G486="","",IF(F486="BUY",K486*Settings!$C$11,0))</f>
        <v/>
      </c>
      <c r="P486" s="3">
        <f>IF(G486="","",L486*Settings!$C$6)</f>
        <v/>
      </c>
      <c r="Q486" s="3">
        <f>IF(G486="","",IF(AND(F486="SELL",E486="Equity Delivery"),Settings!$C$13,0))</f>
        <v/>
      </c>
      <c r="R486" s="3">
        <f>IF(G486="","",SUM(L486:Q486))</f>
        <v/>
      </c>
      <c r="S486" s="3">
        <f>IF(G486="","",IF(F486="BUY",-(K486+R486),K486-R486))</f>
        <v/>
      </c>
    </row>
    <row r="487">
      <c r="A487">
        <f>IF(G487="","",ROW()-1)</f>
        <v/>
      </c>
      <c r="B487" s="6" t="n"/>
      <c r="G487" s="3" t="n"/>
      <c r="H487" s="3" t="n"/>
      <c r="K487" s="3">
        <f>IF(G487="","",G487*H487)</f>
        <v/>
      </c>
      <c r="L487" s="3">
        <f>IF(G487="","",Settings!$C$5)</f>
        <v/>
      </c>
      <c r="M487" s="3">
        <f>IF(G487="","",IF(F487="SELL",K487*IF(E487="Equity Intraday",Settings!$C$8,Settings!$C$7),0))</f>
        <v/>
      </c>
      <c r="N487" s="3">
        <f>IF(G487="","",K487*(Settings!$C$9+Settings!$C$10))</f>
        <v/>
      </c>
      <c r="O487" s="3">
        <f>IF(G487="","",IF(F487="BUY",K487*Settings!$C$11,0))</f>
        <v/>
      </c>
      <c r="P487" s="3">
        <f>IF(G487="","",L487*Settings!$C$6)</f>
        <v/>
      </c>
      <c r="Q487" s="3">
        <f>IF(G487="","",IF(AND(F487="SELL",E487="Equity Delivery"),Settings!$C$13,0))</f>
        <v/>
      </c>
      <c r="R487" s="3">
        <f>IF(G487="","",SUM(L487:Q487))</f>
        <v/>
      </c>
      <c r="S487" s="3">
        <f>IF(G487="","",IF(F487="BUY",-(K487+R487),K487-R487))</f>
        <v/>
      </c>
    </row>
    <row r="488">
      <c r="A488">
        <f>IF(G488="","",ROW()-1)</f>
        <v/>
      </c>
      <c r="B488" s="6" t="n"/>
      <c r="G488" s="3" t="n"/>
      <c r="H488" s="3" t="n"/>
      <c r="K488" s="3">
        <f>IF(G488="","",G488*H488)</f>
        <v/>
      </c>
      <c r="L488" s="3">
        <f>IF(G488="","",Settings!$C$5)</f>
        <v/>
      </c>
      <c r="M488" s="3">
        <f>IF(G488="","",IF(F488="SELL",K488*IF(E488="Equity Intraday",Settings!$C$8,Settings!$C$7),0))</f>
        <v/>
      </c>
      <c r="N488" s="3">
        <f>IF(G488="","",K488*(Settings!$C$9+Settings!$C$10))</f>
        <v/>
      </c>
      <c r="O488" s="3">
        <f>IF(G488="","",IF(F488="BUY",K488*Settings!$C$11,0))</f>
        <v/>
      </c>
      <c r="P488" s="3">
        <f>IF(G488="","",L488*Settings!$C$6)</f>
        <v/>
      </c>
      <c r="Q488" s="3">
        <f>IF(G488="","",IF(AND(F488="SELL",E488="Equity Delivery"),Settings!$C$13,0))</f>
        <v/>
      </c>
      <c r="R488" s="3">
        <f>IF(G488="","",SUM(L488:Q488))</f>
        <v/>
      </c>
      <c r="S488" s="3">
        <f>IF(G488="","",IF(F488="BUY",-(K488+R488),K488-R488))</f>
        <v/>
      </c>
    </row>
    <row r="489">
      <c r="A489">
        <f>IF(G489="","",ROW()-1)</f>
        <v/>
      </c>
      <c r="B489" s="6" t="n"/>
      <c r="G489" s="3" t="n"/>
      <c r="H489" s="3" t="n"/>
      <c r="K489" s="3">
        <f>IF(G489="","",G489*H489)</f>
        <v/>
      </c>
      <c r="L489" s="3">
        <f>IF(G489="","",Settings!$C$5)</f>
        <v/>
      </c>
      <c r="M489" s="3">
        <f>IF(G489="","",IF(F489="SELL",K489*IF(E489="Equity Intraday",Settings!$C$8,Settings!$C$7),0))</f>
        <v/>
      </c>
      <c r="N489" s="3">
        <f>IF(G489="","",K489*(Settings!$C$9+Settings!$C$10))</f>
        <v/>
      </c>
      <c r="O489" s="3">
        <f>IF(G489="","",IF(F489="BUY",K489*Settings!$C$11,0))</f>
        <v/>
      </c>
      <c r="P489" s="3">
        <f>IF(G489="","",L489*Settings!$C$6)</f>
        <v/>
      </c>
      <c r="Q489" s="3">
        <f>IF(G489="","",IF(AND(F489="SELL",E489="Equity Delivery"),Settings!$C$13,0))</f>
        <v/>
      </c>
      <c r="R489" s="3">
        <f>IF(G489="","",SUM(L489:Q489))</f>
        <v/>
      </c>
      <c r="S489" s="3">
        <f>IF(G489="","",IF(F489="BUY",-(K489+R489),K489-R489))</f>
        <v/>
      </c>
    </row>
    <row r="490">
      <c r="A490">
        <f>IF(G490="","",ROW()-1)</f>
        <v/>
      </c>
      <c r="B490" s="6" t="n"/>
      <c r="G490" s="3" t="n"/>
      <c r="H490" s="3" t="n"/>
      <c r="K490" s="3">
        <f>IF(G490="","",G490*H490)</f>
        <v/>
      </c>
      <c r="L490" s="3">
        <f>IF(G490="","",Settings!$C$5)</f>
        <v/>
      </c>
      <c r="M490" s="3">
        <f>IF(G490="","",IF(F490="SELL",K490*IF(E490="Equity Intraday",Settings!$C$8,Settings!$C$7),0))</f>
        <v/>
      </c>
      <c r="N490" s="3">
        <f>IF(G490="","",K490*(Settings!$C$9+Settings!$C$10))</f>
        <v/>
      </c>
      <c r="O490" s="3">
        <f>IF(G490="","",IF(F490="BUY",K490*Settings!$C$11,0))</f>
        <v/>
      </c>
      <c r="P490" s="3">
        <f>IF(G490="","",L490*Settings!$C$6)</f>
        <v/>
      </c>
      <c r="Q490" s="3">
        <f>IF(G490="","",IF(AND(F490="SELL",E490="Equity Delivery"),Settings!$C$13,0))</f>
        <v/>
      </c>
      <c r="R490" s="3">
        <f>IF(G490="","",SUM(L490:Q490))</f>
        <v/>
      </c>
      <c r="S490" s="3">
        <f>IF(G490="","",IF(F490="BUY",-(K490+R490),K490-R490))</f>
        <v/>
      </c>
    </row>
    <row r="491">
      <c r="A491">
        <f>IF(G491="","",ROW()-1)</f>
        <v/>
      </c>
      <c r="B491" s="6" t="n"/>
      <c r="G491" s="3" t="n"/>
      <c r="H491" s="3" t="n"/>
      <c r="K491" s="3">
        <f>IF(G491="","",G491*H491)</f>
        <v/>
      </c>
      <c r="L491" s="3">
        <f>IF(G491="","",Settings!$C$5)</f>
        <v/>
      </c>
      <c r="M491" s="3">
        <f>IF(G491="","",IF(F491="SELL",K491*IF(E491="Equity Intraday",Settings!$C$8,Settings!$C$7),0))</f>
        <v/>
      </c>
      <c r="N491" s="3">
        <f>IF(G491="","",K491*(Settings!$C$9+Settings!$C$10))</f>
        <v/>
      </c>
      <c r="O491" s="3">
        <f>IF(G491="","",IF(F491="BUY",K491*Settings!$C$11,0))</f>
        <v/>
      </c>
      <c r="P491" s="3">
        <f>IF(G491="","",L491*Settings!$C$6)</f>
        <v/>
      </c>
      <c r="Q491" s="3">
        <f>IF(G491="","",IF(AND(F491="SELL",E491="Equity Delivery"),Settings!$C$13,0))</f>
        <v/>
      </c>
      <c r="R491" s="3">
        <f>IF(G491="","",SUM(L491:Q491))</f>
        <v/>
      </c>
      <c r="S491" s="3">
        <f>IF(G491="","",IF(F491="BUY",-(K491+R491),K491-R491))</f>
        <v/>
      </c>
    </row>
    <row r="492">
      <c r="A492">
        <f>IF(G492="","",ROW()-1)</f>
        <v/>
      </c>
      <c r="B492" s="6" t="n"/>
      <c r="G492" s="3" t="n"/>
      <c r="H492" s="3" t="n"/>
      <c r="K492" s="3">
        <f>IF(G492="","",G492*H492)</f>
        <v/>
      </c>
      <c r="L492" s="3">
        <f>IF(G492="","",Settings!$C$5)</f>
        <v/>
      </c>
      <c r="M492" s="3">
        <f>IF(G492="","",IF(F492="SELL",K492*IF(E492="Equity Intraday",Settings!$C$8,Settings!$C$7),0))</f>
        <v/>
      </c>
      <c r="N492" s="3">
        <f>IF(G492="","",K492*(Settings!$C$9+Settings!$C$10))</f>
        <v/>
      </c>
      <c r="O492" s="3">
        <f>IF(G492="","",IF(F492="BUY",K492*Settings!$C$11,0))</f>
        <v/>
      </c>
      <c r="P492" s="3">
        <f>IF(G492="","",L492*Settings!$C$6)</f>
        <v/>
      </c>
      <c r="Q492" s="3">
        <f>IF(G492="","",IF(AND(F492="SELL",E492="Equity Delivery"),Settings!$C$13,0))</f>
        <v/>
      </c>
      <c r="R492" s="3">
        <f>IF(G492="","",SUM(L492:Q492))</f>
        <v/>
      </c>
      <c r="S492" s="3">
        <f>IF(G492="","",IF(F492="BUY",-(K492+R492),K492-R492))</f>
        <v/>
      </c>
    </row>
    <row r="493">
      <c r="A493">
        <f>IF(G493="","",ROW()-1)</f>
        <v/>
      </c>
      <c r="B493" s="6" t="n"/>
      <c r="G493" s="3" t="n"/>
      <c r="H493" s="3" t="n"/>
      <c r="K493" s="3">
        <f>IF(G493="","",G493*H493)</f>
        <v/>
      </c>
      <c r="L493" s="3">
        <f>IF(G493="","",Settings!$C$5)</f>
        <v/>
      </c>
      <c r="M493" s="3">
        <f>IF(G493="","",IF(F493="SELL",K493*IF(E493="Equity Intraday",Settings!$C$8,Settings!$C$7),0))</f>
        <v/>
      </c>
      <c r="N493" s="3">
        <f>IF(G493="","",K493*(Settings!$C$9+Settings!$C$10))</f>
        <v/>
      </c>
      <c r="O493" s="3">
        <f>IF(G493="","",IF(F493="BUY",K493*Settings!$C$11,0))</f>
        <v/>
      </c>
      <c r="P493" s="3">
        <f>IF(G493="","",L493*Settings!$C$6)</f>
        <v/>
      </c>
      <c r="Q493" s="3">
        <f>IF(G493="","",IF(AND(F493="SELL",E493="Equity Delivery"),Settings!$C$13,0))</f>
        <v/>
      </c>
      <c r="R493" s="3">
        <f>IF(G493="","",SUM(L493:Q493))</f>
        <v/>
      </c>
      <c r="S493" s="3">
        <f>IF(G493="","",IF(F493="BUY",-(K493+R493),K493-R493))</f>
        <v/>
      </c>
    </row>
    <row r="494">
      <c r="A494">
        <f>IF(G494="","",ROW()-1)</f>
        <v/>
      </c>
      <c r="B494" s="6" t="n"/>
      <c r="G494" s="3" t="n"/>
      <c r="H494" s="3" t="n"/>
      <c r="K494" s="3">
        <f>IF(G494="","",G494*H494)</f>
        <v/>
      </c>
      <c r="L494" s="3">
        <f>IF(G494="","",Settings!$C$5)</f>
        <v/>
      </c>
      <c r="M494" s="3">
        <f>IF(G494="","",IF(F494="SELL",K494*IF(E494="Equity Intraday",Settings!$C$8,Settings!$C$7),0))</f>
        <v/>
      </c>
      <c r="N494" s="3">
        <f>IF(G494="","",K494*(Settings!$C$9+Settings!$C$10))</f>
        <v/>
      </c>
      <c r="O494" s="3">
        <f>IF(G494="","",IF(F494="BUY",K494*Settings!$C$11,0))</f>
        <v/>
      </c>
      <c r="P494" s="3">
        <f>IF(G494="","",L494*Settings!$C$6)</f>
        <v/>
      </c>
      <c r="Q494" s="3">
        <f>IF(G494="","",IF(AND(F494="SELL",E494="Equity Delivery"),Settings!$C$13,0))</f>
        <v/>
      </c>
      <c r="R494" s="3">
        <f>IF(G494="","",SUM(L494:Q494))</f>
        <v/>
      </c>
      <c r="S494" s="3">
        <f>IF(G494="","",IF(F494="BUY",-(K494+R494),K494-R494))</f>
        <v/>
      </c>
    </row>
    <row r="495">
      <c r="A495">
        <f>IF(G495="","",ROW()-1)</f>
        <v/>
      </c>
      <c r="B495" s="6" t="n"/>
      <c r="G495" s="3" t="n"/>
      <c r="H495" s="3" t="n"/>
      <c r="K495" s="3">
        <f>IF(G495="","",G495*H495)</f>
        <v/>
      </c>
      <c r="L495" s="3">
        <f>IF(G495="","",Settings!$C$5)</f>
        <v/>
      </c>
      <c r="M495" s="3">
        <f>IF(G495="","",IF(F495="SELL",K495*IF(E495="Equity Intraday",Settings!$C$8,Settings!$C$7),0))</f>
        <v/>
      </c>
      <c r="N495" s="3">
        <f>IF(G495="","",K495*(Settings!$C$9+Settings!$C$10))</f>
        <v/>
      </c>
      <c r="O495" s="3">
        <f>IF(G495="","",IF(F495="BUY",K495*Settings!$C$11,0))</f>
        <v/>
      </c>
      <c r="P495" s="3">
        <f>IF(G495="","",L495*Settings!$C$6)</f>
        <v/>
      </c>
      <c r="Q495" s="3">
        <f>IF(G495="","",IF(AND(F495="SELL",E495="Equity Delivery"),Settings!$C$13,0))</f>
        <v/>
      </c>
      <c r="R495" s="3">
        <f>IF(G495="","",SUM(L495:Q495))</f>
        <v/>
      </c>
      <c r="S495" s="3">
        <f>IF(G495="","",IF(F495="BUY",-(K495+R495),K495-R495))</f>
        <v/>
      </c>
    </row>
    <row r="496">
      <c r="A496">
        <f>IF(G496="","",ROW()-1)</f>
        <v/>
      </c>
      <c r="B496" s="6" t="n"/>
      <c r="G496" s="3" t="n"/>
      <c r="H496" s="3" t="n"/>
      <c r="K496" s="3">
        <f>IF(G496="","",G496*H496)</f>
        <v/>
      </c>
      <c r="L496" s="3">
        <f>IF(G496="","",Settings!$C$5)</f>
        <v/>
      </c>
      <c r="M496" s="3">
        <f>IF(G496="","",IF(F496="SELL",K496*IF(E496="Equity Intraday",Settings!$C$8,Settings!$C$7),0))</f>
        <v/>
      </c>
      <c r="N496" s="3">
        <f>IF(G496="","",K496*(Settings!$C$9+Settings!$C$10))</f>
        <v/>
      </c>
      <c r="O496" s="3">
        <f>IF(G496="","",IF(F496="BUY",K496*Settings!$C$11,0))</f>
        <v/>
      </c>
      <c r="P496" s="3">
        <f>IF(G496="","",L496*Settings!$C$6)</f>
        <v/>
      </c>
      <c r="Q496" s="3">
        <f>IF(G496="","",IF(AND(F496="SELL",E496="Equity Delivery"),Settings!$C$13,0))</f>
        <v/>
      </c>
      <c r="R496" s="3">
        <f>IF(G496="","",SUM(L496:Q496))</f>
        <v/>
      </c>
      <c r="S496" s="3">
        <f>IF(G496="","",IF(F496="BUY",-(K496+R496),K496-R496))</f>
        <v/>
      </c>
    </row>
    <row r="497">
      <c r="A497">
        <f>IF(G497="","",ROW()-1)</f>
        <v/>
      </c>
      <c r="B497" s="6" t="n"/>
      <c r="G497" s="3" t="n"/>
      <c r="H497" s="3" t="n"/>
      <c r="K497" s="3">
        <f>IF(G497="","",G497*H497)</f>
        <v/>
      </c>
      <c r="L497" s="3">
        <f>IF(G497="","",Settings!$C$5)</f>
        <v/>
      </c>
      <c r="M497" s="3">
        <f>IF(G497="","",IF(F497="SELL",K497*IF(E497="Equity Intraday",Settings!$C$8,Settings!$C$7),0))</f>
        <v/>
      </c>
      <c r="N497" s="3">
        <f>IF(G497="","",K497*(Settings!$C$9+Settings!$C$10))</f>
        <v/>
      </c>
      <c r="O497" s="3">
        <f>IF(G497="","",IF(F497="BUY",K497*Settings!$C$11,0))</f>
        <v/>
      </c>
      <c r="P497" s="3">
        <f>IF(G497="","",L497*Settings!$C$6)</f>
        <v/>
      </c>
      <c r="Q497" s="3">
        <f>IF(G497="","",IF(AND(F497="SELL",E497="Equity Delivery"),Settings!$C$13,0))</f>
        <v/>
      </c>
      <c r="R497" s="3">
        <f>IF(G497="","",SUM(L497:Q497))</f>
        <v/>
      </c>
      <c r="S497" s="3">
        <f>IF(G497="","",IF(F497="BUY",-(K497+R497),K497-R497))</f>
        <v/>
      </c>
    </row>
    <row r="498">
      <c r="A498">
        <f>IF(G498="","",ROW()-1)</f>
        <v/>
      </c>
      <c r="B498" s="6" t="n"/>
      <c r="G498" s="3" t="n"/>
      <c r="H498" s="3" t="n"/>
      <c r="K498" s="3">
        <f>IF(G498="","",G498*H498)</f>
        <v/>
      </c>
      <c r="L498" s="3">
        <f>IF(G498="","",Settings!$C$5)</f>
        <v/>
      </c>
      <c r="M498" s="3">
        <f>IF(G498="","",IF(F498="SELL",K498*IF(E498="Equity Intraday",Settings!$C$8,Settings!$C$7),0))</f>
        <v/>
      </c>
      <c r="N498" s="3">
        <f>IF(G498="","",K498*(Settings!$C$9+Settings!$C$10))</f>
        <v/>
      </c>
      <c r="O498" s="3">
        <f>IF(G498="","",IF(F498="BUY",K498*Settings!$C$11,0))</f>
        <v/>
      </c>
      <c r="P498" s="3">
        <f>IF(G498="","",L498*Settings!$C$6)</f>
        <v/>
      </c>
      <c r="Q498" s="3">
        <f>IF(G498="","",IF(AND(F498="SELL",E498="Equity Delivery"),Settings!$C$13,0))</f>
        <v/>
      </c>
      <c r="R498" s="3">
        <f>IF(G498="","",SUM(L498:Q498))</f>
        <v/>
      </c>
      <c r="S498" s="3">
        <f>IF(G498="","",IF(F498="BUY",-(K498+R498),K498-R498))</f>
        <v/>
      </c>
    </row>
    <row r="499">
      <c r="A499">
        <f>IF(G499="","",ROW()-1)</f>
        <v/>
      </c>
      <c r="B499" s="6" t="n"/>
      <c r="G499" s="3" t="n"/>
      <c r="H499" s="3" t="n"/>
      <c r="K499" s="3">
        <f>IF(G499="","",G499*H499)</f>
        <v/>
      </c>
      <c r="L499" s="3">
        <f>IF(G499="","",Settings!$C$5)</f>
        <v/>
      </c>
      <c r="M499" s="3">
        <f>IF(G499="","",IF(F499="SELL",K499*IF(E499="Equity Intraday",Settings!$C$8,Settings!$C$7),0))</f>
        <v/>
      </c>
      <c r="N499" s="3">
        <f>IF(G499="","",K499*(Settings!$C$9+Settings!$C$10))</f>
        <v/>
      </c>
      <c r="O499" s="3">
        <f>IF(G499="","",IF(F499="BUY",K499*Settings!$C$11,0))</f>
        <v/>
      </c>
      <c r="P499" s="3">
        <f>IF(G499="","",L499*Settings!$C$6)</f>
        <v/>
      </c>
      <c r="Q499" s="3">
        <f>IF(G499="","",IF(AND(F499="SELL",E499="Equity Delivery"),Settings!$C$13,0))</f>
        <v/>
      </c>
      <c r="R499" s="3">
        <f>IF(G499="","",SUM(L499:Q499))</f>
        <v/>
      </c>
      <c r="S499" s="3">
        <f>IF(G499="","",IF(F499="BUY",-(K499+R499),K499-R499))</f>
        <v/>
      </c>
    </row>
    <row r="500">
      <c r="A500">
        <f>IF(G500="","",ROW()-1)</f>
        <v/>
      </c>
      <c r="B500" s="6" t="n"/>
      <c r="G500" s="3" t="n"/>
      <c r="H500" s="3" t="n"/>
      <c r="K500" s="3">
        <f>IF(G500="","",G500*H500)</f>
        <v/>
      </c>
      <c r="L500" s="3">
        <f>IF(G500="","",Settings!$C$5)</f>
        <v/>
      </c>
      <c r="M500" s="3">
        <f>IF(G500="","",IF(F500="SELL",K500*IF(E500="Equity Intraday",Settings!$C$8,Settings!$C$7),0))</f>
        <v/>
      </c>
      <c r="N500" s="3">
        <f>IF(G500="","",K500*(Settings!$C$9+Settings!$C$10))</f>
        <v/>
      </c>
      <c r="O500" s="3">
        <f>IF(G500="","",IF(F500="BUY",K500*Settings!$C$11,0))</f>
        <v/>
      </c>
      <c r="P500" s="3">
        <f>IF(G500="","",L500*Settings!$C$6)</f>
        <v/>
      </c>
      <c r="Q500" s="3">
        <f>IF(G500="","",IF(AND(F500="SELL",E500="Equity Delivery"),Settings!$C$13,0))</f>
        <v/>
      </c>
      <c r="R500" s="3">
        <f>IF(G500="","",SUM(L500:Q500))</f>
        <v/>
      </c>
      <c r="S500" s="3">
        <f>IF(G500="","",IF(F500="BUY",-(K500+R500),K500-R500))</f>
        <v/>
      </c>
    </row>
    <row r="501">
      <c r="A501">
        <f>IF(G501="","",ROW()-1)</f>
        <v/>
      </c>
      <c r="B501" s="6" t="n"/>
      <c r="G501" s="3" t="n"/>
      <c r="H501" s="3" t="n"/>
      <c r="K501" s="3">
        <f>IF(G501="","",G501*H501)</f>
        <v/>
      </c>
      <c r="L501" s="3">
        <f>IF(G501="","",Settings!$C$5)</f>
        <v/>
      </c>
      <c r="M501" s="3">
        <f>IF(G501="","",IF(F501="SELL",K501*IF(E501="Equity Intraday",Settings!$C$8,Settings!$C$7),0))</f>
        <v/>
      </c>
      <c r="N501" s="3">
        <f>IF(G501="","",K501*(Settings!$C$9+Settings!$C$10))</f>
        <v/>
      </c>
      <c r="O501" s="3">
        <f>IF(G501="","",IF(F501="BUY",K501*Settings!$C$11,0))</f>
        <v/>
      </c>
      <c r="P501" s="3">
        <f>IF(G501="","",L501*Settings!$C$6)</f>
        <v/>
      </c>
      <c r="Q501" s="3">
        <f>IF(G501="","",IF(AND(F501="SELL",E501="Equity Delivery"),Settings!$C$13,0))</f>
        <v/>
      </c>
      <c r="R501" s="3">
        <f>IF(G501="","",SUM(L501:Q501))</f>
        <v/>
      </c>
      <c r="S501" s="3">
        <f>IF(G501="","",IF(F501="BUY",-(K501+R501),K501-R501))</f>
        <v/>
      </c>
    </row>
    <row r="502">
      <c r="A502">
        <f>IF(G502="","",ROW()-1)</f>
        <v/>
      </c>
      <c r="B502" s="6" t="n"/>
      <c r="G502" s="3" t="n"/>
      <c r="H502" s="3" t="n"/>
      <c r="K502" s="3">
        <f>IF(G502="","",G502*H502)</f>
        <v/>
      </c>
      <c r="L502" s="3">
        <f>IF(G502="","",Settings!$C$5)</f>
        <v/>
      </c>
      <c r="M502" s="3">
        <f>IF(G502="","",IF(F502="SELL",K502*IF(E502="Equity Intraday",Settings!$C$8,Settings!$C$7),0))</f>
        <v/>
      </c>
      <c r="N502" s="3">
        <f>IF(G502="","",K502*(Settings!$C$9+Settings!$C$10))</f>
        <v/>
      </c>
      <c r="O502" s="3">
        <f>IF(G502="","",IF(F502="BUY",K502*Settings!$C$11,0))</f>
        <v/>
      </c>
      <c r="P502" s="3">
        <f>IF(G502="","",L502*Settings!$C$6)</f>
        <v/>
      </c>
      <c r="Q502" s="3">
        <f>IF(G502="","",IF(AND(F502="SELL",E502="Equity Delivery"),Settings!$C$13,0))</f>
        <v/>
      </c>
      <c r="R502" s="3">
        <f>IF(G502="","",SUM(L502:Q502))</f>
        <v/>
      </c>
      <c r="S502" s="3">
        <f>IF(G502="","",IF(F502="BUY",-(K502+R502),K502-R502))</f>
        <v/>
      </c>
    </row>
  </sheetData>
  <dataValidations count="3">
    <dataValidation sqref="D2:D502" showDropDown="0" showInputMessage="0" showErrorMessage="0" allowBlank="1" type="list">
      <formula1>"NSE,BSE"</formula1>
    </dataValidation>
    <dataValidation sqref="D2:D502 E2:E502" showDropDown="0" showInputMessage="0" showErrorMessage="0" allowBlank="1" type="list">
      <formula1>"Equity Delivery,Equity Intraday"</formula1>
    </dataValidation>
    <dataValidation sqref="D2:D502 F2:F502" showDropDown="0" showInputMessage="0" showErrorMessage="0" allowBlank="1" type="list">
      <formula1>"BUY,SELL"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4" customWidth="1" min="5" max="5"/>
    <col width="14" customWidth="1" min="6" max="6"/>
    <col width="18" customWidth="1" min="7" max="7"/>
    <col width="14" customWidth="1" min="8" max="8"/>
    <col width="16" customWidth="1" min="9" max="9"/>
    <col width="12" customWidth="1" min="10" max="10"/>
  </cols>
  <sheetData>
    <row r="1">
      <c r="A1" s="1" t="inlineStr">
        <is>
          <t>Open positions (net qty &gt; 0 from Trade Log)</t>
        </is>
      </c>
    </row>
    <row r="3">
      <c r="A3" s="2" t="inlineStr">
        <is>
          <t>Symbol</t>
        </is>
      </c>
      <c r="B3" s="2" t="inlineStr">
        <is>
          <t>Exchange</t>
        </is>
      </c>
      <c r="C3" s="2" t="inlineStr">
        <is>
          <t>Segment</t>
        </is>
      </c>
      <c r="D3" s="2" t="inlineStr">
        <is>
          <t>Qty held</t>
        </is>
      </c>
      <c r="E3" s="2" t="inlineStr">
        <is>
          <t>Avg cost (₹)</t>
        </is>
      </c>
      <c r="F3" s="2" t="inlineStr">
        <is>
          <t>Cost value (₹)</t>
        </is>
      </c>
      <c r="G3" s="2" t="inlineStr">
        <is>
          <t>LTP (₹) — update manually</t>
        </is>
      </c>
      <c r="H3" s="2" t="inlineStr">
        <is>
          <t>Market value (₹)</t>
        </is>
      </c>
      <c r="I3" s="2" t="inlineStr">
        <is>
          <t>Unrealized P&amp;L (₹)</t>
        </is>
      </c>
      <c r="J3" s="2" t="inlineStr">
        <is>
          <t>Unrealized %</t>
        </is>
      </c>
    </row>
    <row r="4">
      <c r="A4" t="inlineStr">
        <is>
          <t>List symbols you hold (one per row); sample:</t>
        </is>
      </c>
    </row>
    <row r="5">
      <c r="A5" t="inlineStr">
        <is>
          <t>JINDALSTEL</t>
        </is>
      </c>
      <c r="B5">
        <f>IF(A5="","",INDEX('Trade Log'!D:D,MATCH(A5,'Trade Log'!C:C,0)))</f>
        <v/>
      </c>
      <c r="C5">
        <f>IF(A5="","",INDEX('Trade Log'!E:E,MATCH(A5,'Trade Log'!C:C,0)))</f>
        <v/>
      </c>
      <c r="D5" s="3">
        <f>IF(A5="","",SUMIFS('Trade Log'!G:G,'Trade Log'!C:C,A5,'Trade Log'!F:F,"BUY")-SUMIFS('Trade Log'!G:G,'Trade Log'!C:C,A5,'Trade Log'!F:F,"SELL"))</f>
        <v/>
      </c>
      <c r="E5" s="3">
        <f>IF(D5&lt;=0,"",SUMIFS('Trade Log'!K:K,'Trade Log'!C:C,A5,'Trade Log'!F:F,"BUY")/SUMIFS('Trade Log'!G:G,'Trade Log'!C:C,A5,'Trade Log'!F:F,"BUY"))</f>
        <v/>
      </c>
      <c r="F5" s="3">
        <f>IF(D5&lt;=0,"",D5*E5)</f>
        <v/>
      </c>
      <c r="G5" s="3" t="n"/>
      <c r="H5" s="3">
        <f>IF(D5&lt;=0,"",D5*G5)</f>
        <v/>
      </c>
      <c r="I5" s="3">
        <f>IF(D5&lt;=0,"",H5-F5)</f>
        <v/>
      </c>
      <c r="J5" s="4">
        <f>IF(F5&lt;=0,"",I5/F5)</f>
        <v/>
      </c>
    </row>
    <row r="6">
      <c r="B6">
        <f>IF(A6="","",INDEX('Trade Log'!D:D,MATCH(A6,'Trade Log'!C:C,0)))</f>
        <v/>
      </c>
      <c r="C6">
        <f>IF(A6="","",INDEX('Trade Log'!E:E,MATCH(A6,'Trade Log'!C:C,0)))</f>
        <v/>
      </c>
      <c r="D6" s="3">
        <f>IF(A6="","",SUMIFS('Trade Log'!G:G,'Trade Log'!C:C,A6,'Trade Log'!F:F,"BUY")-SUMIFS('Trade Log'!G:G,'Trade Log'!C:C,A6,'Trade Log'!F:F,"SELL"))</f>
        <v/>
      </c>
      <c r="E6" s="3">
        <f>IF(D6&lt;=0,"",SUMIFS('Trade Log'!K:K,'Trade Log'!C:C,A6,'Trade Log'!F:F,"BUY")/SUMIFS('Trade Log'!G:G,'Trade Log'!C:C,A6,'Trade Log'!F:F,"BUY"))</f>
        <v/>
      </c>
      <c r="F6" s="3">
        <f>IF(D6&lt;=0,"",D6*E6)</f>
        <v/>
      </c>
      <c r="G6" s="3" t="n"/>
      <c r="H6" s="3">
        <f>IF(D6&lt;=0,"",D6*G6)</f>
        <v/>
      </c>
      <c r="I6" s="3">
        <f>IF(D6&lt;=0,"",H6-F6)</f>
        <v/>
      </c>
      <c r="J6" s="4">
        <f>IF(F6&lt;=0,"",I6/F6)</f>
        <v/>
      </c>
    </row>
    <row r="7">
      <c r="B7">
        <f>IF(A7="","",INDEX('Trade Log'!D:D,MATCH(A7,'Trade Log'!C:C,0)))</f>
        <v/>
      </c>
      <c r="C7">
        <f>IF(A7="","",INDEX('Trade Log'!E:E,MATCH(A7,'Trade Log'!C:C,0)))</f>
        <v/>
      </c>
      <c r="D7" s="3">
        <f>IF(A7="","",SUMIFS('Trade Log'!G:G,'Trade Log'!C:C,A7,'Trade Log'!F:F,"BUY")-SUMIFS('Trade Log'!G:G,'Trade Log'!C:C,A7,'Trade Log'!F:F,"SELL"))</f>
        <v/>
      </c>
      <c r="E7" s="3">
        <f>IF(D7&lt;=0,"",SUMIFS('Trade Log'!K:K,'Trade Log'!C:C,A7,'Trade Log'!F:F,"BUY")/SUMIFS('Trade Log'!G:G,'Trade Log'!C:C,A7,'Trade Log'!F:F,"BUY"))</f>
        <v/>
      </c>
      <c r="F7" s="3">
        <f>IF(D7&lt;=0,"",D7*E7)</f>
        <v/>
      </c>
      <c r="G7" s="3" t="n"/>
      <c r="H7" s="3">
        <f>IF(D7&lt;=0,"",D7*G7)</f>
        <v/>
      </c>
      <c r="I7" s="3">
        <f>IF(D7&lt;=0,"",H7-F7)</f>
        <v/>
      </c>
      <c r="J7" s="4">
        <f>IF(F7&lt;=0,"",I7/F7)</f>
        <v/>
      </c>
    </row>
    <row r="8">
      <c r="B8">
        <f>IF(A8="","",INDEX('Trade Log'!D:D,MATCH(A8,'Trade Log'!C:C,0)))</f>
        <v/>
      </c>
      <c r="C8">
        <f>IF(A8="","",INDEX('Trade Log'!E:E,MATCH(A8,'Trade Log'!C:C,0)))</f>
        <v/>
      </c>
      <c r="D8" s="3">
        <f>IF(A8="","",SUMIFS('Trade Log'!G:G,'Trade Log'!C:C,A8,'Trade Log'!F:F,"BUY")-SUMIFS('Trade Log'!G:G,'Trade Log'!C:C,A8,'Trade Log'!F:F,"SELL"))</f>
        <v/>
      </c>
      <c r="E8" s="3">
        <f>IF(D8&lt;=0,"",SUMIFS('Trade Log'!K:K,'Trade Log'!C:C,A8,'Trade Log'!F:F,"BUY")/SUMIFS('Trade Log'!G:G,'Trade Log'!C:C,A8,'Trade Log'!F:F,"BUY"))</f>
        <v/>
      </c>
      <c r="F8" s="3">
        <f>IF(D8&lt;=0,"",D8*E8)</f>
        <v/>
      </c>
      <c r="G8" s="3" t="n"/>
      <c r="H8" s="3">
        <f>IF(D8&lt;=0,"",D8*G8)</f>
        <v/>
      </c>
      <c r="I8" s="3">
        <f>IF(D8&lt;=0,"",H8-F8)</f>
        <v/>
      </c>
      <c r="J8" s="4">
        <f>IF(F8&lt;=0,"",I8/F8)</f>
        <v/>
      </c>
    </row>
    <row r="9">
      <c r="B9">
        <f>IF(A9="","",INDEX('Trade Log'!D:D,MATCH(A9,'Trade Log'!C:C,0)))</f>
        <v/>
      </c>
      <c r="C9">
        <f>IF(A9="","",INDEX('Trade Log'!E:E,MATCH(A9,'Trade Log'!C:C,0)))</f>
        <v/>
      </c>
      <c r="D9" s="3">
        <f>IF(A9="","",SUMIFS('Trade Log'!G:G,'Trade Log'!C:C,A9,'Trade Log'!F:F,"BUY")-SUMIFS('Trade Log'!G:G,'Trade Log'!C:C,A9,'Trade Log'!F:F,"SELL"))</f>
        <v/>
      </c>
      <c r="E9" s="3">
        <f>IF(D9&lt;=0,"",SUMIFS('Trade Log'!K:K,'Trade Log'!C:C,A9,'Trade Log'!F:F,"BUY")/SUMIFS('Trade Log'!G:G,'Trade Log'!C:C,A9,'Trade Log'!F:F,"BUY"))</f>
        <v/>
      </c>
      <c r="F9" s="3">
        <f>IF(D9&lt;=0,"",D9*E9)</f>
        <v/>
      </c>
      <c r="G9" s="3" t="n"/>
      <c r="H9" s="3">
        <f>IF(D9&lt;=0,"",D9*G9)</f>
        <v/>
      </c>
      <c r="I9" s="3">
        <f>IF(D9&lt;=0,"",H9-F9)</f>
        <v/>
      </c>
      <c r="J9" s="4">
        <f>IF(F9&lt;=0,"",I9/F9)</f>
        <v/>
      </c>
    </row>
    <row r="10">
      <c r="B10">
        <f>IF(A10="","",INDEX('Trade Log'!D:D,MATCH(A10,'Trade Log'!C:C,0)))</f>
        <v/>
      </c>
      <c r="C10">
        <f>IF(A10="","",INDEX('Trade Log'!E:E,MATCH(A10,'Trade Log'!C:C,0)))</f>
        <v/>
      </c>
      <c r="D10" s="3">
        <f>IF(A10="","",SUMIFS('Trade Log'!G:G,'Trade Log'!C:C,A10,'Trade Log'!F:F,"BUY")-SUMIFS('Trade Log'!G:G,'Trade Log'!C:C,A10,'Trade Log'!F:F,"SELL"))</f>
        <v/>
      </c>
      <c r="E10" s="3">
        <f>IF(D10&lt;=0,"",SUMIFS('Trade Log'!K:K,'Trade Log'!C:C,A10,'Trade Log'!F:F,"BUY")/SUMIFS('Trade Log'!G:G,'Trade Log'!C:C,A10,'Trade Log'!F:F,"BUY"))</f>
        <v/>
      </c>
      <c r="F10" s="3">
        <f>IF(D10&lt;=0,"",D10*E10)</f>
        <v/>
      </c>
      <c r="G10" s="3" t="n"/>
      <c r="H10" s="3">
        <f>IF(D10&lt;=0,"",D10*G10)</f>
        <v/>
      </c>
      <c r="I10" s="3">
        <f>IF(D10&lt;=0,"",H10-F10)</f>
        <v/>
      </c>
      <c r="J10" s="4">
        <f>IF(F10&lt;=0,"",I10/F10)</f>
        <v/>
      </c>
    </row>
    <row r="11">
      <c r="B11">
        <f>IF(A11="","",INDEX('Trade Log'!D:D,MATCH(A11,'Trade Log'!C:C,0)))</f>
        <v/>
      </c>
      <c r="C11">
        <f>IF(A11="","",INDEX('Trade Log'!E:E,MATCH(A11,'Trade Log'!C:C,0)))</f>
        <v/>
      </c>
      <c r="D11" s="3">
        <f>IF(A11="","",SUMIFS('Trade Log'!G:G,'Trade Log'!C:C,A11,'Trade Log'!F:F,"BUY")-SUMIFS('Trade Log'!G:G,'Trade Log'!C:C,A11,'Trade Log'!F:F,"SELL"))</f>
        <v/>
      </c>
      <c r="E11" s="3">
        <f>IF(D11&lt;=0,"",SUMIFS('Trade Log'!K:K,'Trade Log'!C:C,A11,'Trade Log'!F:F,"BUY")/SUMIFS('Trade Log'!G:G,'Trade Log'!C:C,A11,'Trade Log'!F:F,"BUY"))</f>
        <v/>
      </c>
      <c r="F11" s="3">
        <f>IF(D11&lt;=0,"",D11*E11)</f>
        <v/>
      </c>
      <c r="G11" s="3" t="n"/>
      <c r="H11" s="3">
        <f>IF(D11&lt;=0,"",D11*G11)</f>
        <v/>
      </c>
      <c r="I11" s="3">
        <f>IF(D11&lt;=0,"",H11-F11)</f>
        <v/>
      </c>
      <c r="J11" s="4">
        <f>IF(F11&lt;=0,"",I11/F11)</f>
        <v/>
      </c>
    </row>
    <row r="12">
      <c r="B12">
        <f>IF(A12="","",INDEX('Trade Log'!D:D,MATCH(A12,'Trade Log'!C:C,0)))</f>
        <v/>
      </c>
      <c r="C12">
        <f>IF(A12="","",INDEX('Trade Log'!E:E,MATCH(A12,'Trade Log'!C:C,0)))</f>
        <v/>
      </c>
      <c r="D12" s="3">
        <f>IF(A12="","",SUMIFS('Trade Log'!G:G,'Trade Log'!C:C,A12,'Trade Log'!F:F,"BUY")-SUMIFS('Trade Log'!G:G,'Trade Log'!C:C,A12,'Trade Log'!F:F,"SELL"))</f>
        <v/>
      </c>
      <c r="E12" s="3">
        <f>IF(D12&lt;=0,"",SUMIFS('Trade Log'!K:K,'Trade Log'!C:C,A12,'Trade Log'!F:F,"BUY")/SUMIFS('Trade Log'!G:G,'Trade Log'!C:C,A12,'Trade Log'!F:F,"BUY"))</f>
        <v/>
      </c>
      <c r="F12" s="3">
        <f>IF(D12&lt;=0,"",D12*E12)</f>
        <v/>
      </c>
      <c r="G12" s="3" t="n"/>
      <c r="H12" s="3">
        <f>IF(D12&lt;=0,"",D12*G12)</f>
        <v/>
      </c>
      <c r="I12" s="3">
        <f>IF(D12&lt;=0,"",H12-F12)</f>
        <v/>
      </c>
      <c r="J12" s="4">
        <f>IF(F12&lt;=0,"",I12/F12)</f>
        <v/>
      </c>
    </row>
    <row r="13">
      <c r="B13">
        <f>IF(A13="","",INDEX('Trade Log'!D:D,MATCH(A13,'Trade Log'!C:C,0)))</f>
        <v/>
      </c>
      <c r="C13">
        <f>IF(A13="","",INDEX('Trade Log'!E:E,MATCH(A13,'Trade Log'!C:C,0)))</f>
        <v/>
      </c>
      <c r="D13" s="3">
        <f>IF(A13="","",SUMIFS('Trade Log'!G:G,'Trade Log'!C:C,A13,'Trade Log'!F:F,"BUY")-SUMIFS('Trade Log'!G:G,'Trade Log'!C:C,A13,'Trade Log'!F:F,"SELL"))</f>
        <v/>
      </c>
      <c r="E13" s="3">
        <f>IF(D13&lt;=0,"",SUMIFS('Trade Log'!K:K,'Trade Log'!C:C,A13,'Trade Log'!F:F,"BUY")/SUMIFS('Trade Log'!G:G,'Trade Log'!C:C,A13,'Trade Log'!F:F,"BUY"))</f>
        <v/>
      </c>
      <c r="F13" s="3">
        <f>IF(D13&lt;=0,"",D13*E13)</f>
        <v/>
      </c>
      <c r="G13" s="3" t="n"/>
      <c r="H13" s="3">
        <f>IF(D13&lt;=0,"",D13*G13)</f>
        <v/>
      </c>
      <c r="I13" s="3">
        <f>IF(D13&lt;=0,"",H13-F13)</f>
        <v/>
      </c>
      <c r="J13" s="4">
        <f>IF(F13&lt;=0,"",I13/F13)</f>
        <v/>
      </c>
    </row>
    <row r="14">
      <c r="B14">
        <f>IF(A14="","",INDEX('Trade Log'!D:D,MATCH(A14,'Trade Log'!C:C,0)))</f>
        <v/>
      </c>
      <c r="C14">
        <f>IF(A14="","",INDEX('Trade Log'!E:E,MATCH(A14,'Trade Log'!C:C,0)))</f>
        <v/>
      </c>
      <c r="D14" s="3">
        <f>IF(A14="","",SUMIFS('Trade Log'!G:G,'Trade Log'!C:C,A14,'Trade Log'!F:F,"BUY")-SUMIFS('Trade Log'!G:G,'Trade Log'!C:C,A14,'Trade Log'!F:F,"SELL"))</f>
        <v/>
      </c>
      <c r="E14" s="3">
        <f>IF(D14&lt;=0,"",SUMIFS('Trade Log'!K:K,'Trade Log'!C:C,A14,'Trade Log'!F:F,"BUY")/SUMIFS('Trade Log'!G:G,'Trade Log'!C:C,A14,'Trade Log'!F:F,"BUY"))</f>
        <v/>
      </c>
      <c r="F14" s="3">
        <f>IF(D14&lt;=0,"",D14*E14)</f>
        <v/>
      </c>
      <c r="G14" s="3" t="n"/>
      <c r="H14" s="3">
        <f>IF(D14&lt;=0,"",D14*G14)</f>
        <v/>
      </c>
      <c r="I14" s="3">
        <f>IF(D14&lt;=0,"",H14-F14)</f>
        <v/>
      </c>
      <c r="J14" s="4">
        <f>IF(F14&lt;=0,"",I14/F14)</f>
        <v/>
      </c>
    </row>
    <row r="15">
      <c r="B15">
        <f>IF(A15="","",INDEX('Trade Log'!D:D,MATCH(A15,'Trade Log'!C:C,0)))</f>
        <v/>
      </c>
      <c r="C15">
        <f>IF(A15="","",INDEX('Trade Log'!E:E,MATCH(A15,'Trade Log'!C:C,0)))</f>
        <v/>
      </c>
      <c r="D15" s="3">
        <f>IF(A15="","",SUMIFS('Trade Log'!G:G,'Trade Log'!C:C,A15,'Trade Log'!F:F,"BUY")-SUMIFS('Trade Log'!G:G,'Trade Log'!C:C,A15,'Trade Log'!F:F,"SELL"))</f>
        <v/>
      </c>
      <c r="E15" s="3">
        <f>IF(D15&lt;=0,"",SUMIFS('Trade Log'!K:K,'Trade Log'!C:C,A15,'Trade Log'!F:F,"BUY")/SUMIFS('Trade Log'!G:G,'Trade Log'!C:C,A15,'Trade Log'!F:F,"BUY"))</f>
        <v/>
      </c>
      <c r="F15" s="3">
        <f>IF(D15&lt;=0,"",D15*E15)</f>
        <v/>
      </c>
      <c r="G15" s="3" t="n"/>
      <c r="H15" s="3">
        <f>IF(D15&lt;=0,"",D15*G15)</f>
        <v/>
      </c>
      <c r="I15" s="3">
        <f>IF(D15&lt;=0,"",H15-F15)</f>
        <v/>
      </c>
      <c r="J15" s="4">
        <f>IF(F15&lt;=0,"",I15/F15)</f>
        <v/>
      </c>
    </row>
    <row r="16">
      <c r="B16">
        <f>IF(A16="","",INDEX('Trade Log'!D:D,MATCH(A16,'Trade Log'!C:C,0)))</f>
        <v/>
      </c>
      <c r="C16">
        <f>IF(A16="","",INDEX('Trade Log'!E:E,MATCH(A16,'Trade Log'!C:C,0)))</f>
        <v/>
      </c>
      <c r="D16" s="3">
        <f>IF(A16="","",SUMIFS('Trade Log'!G:G,'Trade Log'!C:C,A16,'Trade Log'!F:F,"BUY")-SUMIFS('Trade Log'!G:G,'Trade Log'!C:C,A16,'Trade Log'!F:F,"SELL"))</f>
        <v/>
      </c>
      <c r="E16" s="3">
        <f>IF(D16&lt;=0,"",SUMIFS('Trade Log'!K:K,'Trade Log'!C:C,A16,'Trade Log'!F:F,"BUY")/SUMIFS('Trade Log'!G:G,'Trade Log'!C:C,A16,'Trade Log'!F:F,"BUY"))</f>
        <v/>
      </c>
      <c r="F16" s="3">
        <f>IF(D16&lt;=0,"",D16*E16)</f>
        <v/>
      </c>
      <c r="G16" s="3" t="n"/>
      <c r="H16" s="3">
        <f>IF(D16&lt;=0,"",D16*G16)</f>
        <v/>
      </c>
      <c r="I16" s="3">
        <f>IF(D16&lt;=0,"",H16-F16)</f>
        <v/>
      </c>
      <c r="J16" s="4">
        <f>IF(F16&lt;=0,"",I16/F16)</f>
        <v/>
      </c>
    </row>
    <row r="17">
      <c r="B17">
        <f>IF(A17="","",INDEX('Trade Log'!D:D,MATCH(A17,'Trade Log'!C:C,0)))</f>
        <v/>
      </c>
      <c r="C17">
        <f>IF(A17="","",INDEX('Trade Log'!E:E,MATCH(A17,'Trade Log'!C:C,0)))</f>
        <v/>
      </c>
      <c r="D17" s="3">
        <f>IF(A17="","",SUMIFS('Trade Log'!G:G,'Trade Log'!C:C,A17,'Trade Log'!F:F,"BUY")-SUMIFS('Trade Log'!G:G,'Trade Log'!C:C,A17,'Trade Log'!F:F,"SELL"))</f>
        <v/>
      </c>
      <c r="E17" s="3">
        <f>IF(D17&lt;=0,"",SUMIFS('Trade Log'!K:K,'Trade Log'!C:C,A17,'Trade Log'!F:F,"BUY")/SUMIFS('Trade Log'!G:G,'Trade Log'!C:C,A17,'Trade Log'!F:F,"BUY"))</f>
        <v/>
      </c>
      <c r="F17" s="3">
        <f>IF(D17&lt;=0,"",D17*E17)</f>
        <v/>
      </c>
      <c r="G17" s="3" t="n"/>
      <c r="H17" s="3">
        <f>IF(D17&lt;=0,"",D17*G17)</f>
        <v/>
      </c>
      <c r="I17" s="3">
        <f>IF(D17&lt;=0,"",H17-F17)</f>
        <v/>
      </c>
      <c r="J17" s="4">
        <f>IF(F17&lt;=0,"",I17/F17)</f>
        <v/>
      </c>
    </row>
    <row r="18">
      <c r="B18">
        <f>IF(A18="","",INDEX('Trade Log'!D:D,MATCH(A18,'Trade Log'!C:C,0)))</f>
        <v/>
      </c>
      <c r="C18">
        <f>IF(A18="","",INDEX('Trade Log'!E:E,MATCH(A18,'Trade Log'!C:C,0)))</f>
        <v/>
      </c>
      <c r="D18" s="3">
        <f>IF(A18="","",SUMIFS('Trade Log'!G:G,'Trade Log'!C:C,A18,'Trade Log'!F:F,"BUY")-SUMIFS('Trade Log'!G:G,'Trade Log'!C:C,A18,'Trade Log'!F:F,"SELL"))</f>
        <v/>
      </c>
      <c r="E18" s="3">
        <f>IF(D18&lt;=0,"",SUMIFS('Trade Log'!K:K,'Trade Log'!C:C,A18,'Trade Log'!F:F,"BUY")/SUMIFS('Trade Log'!G:G,'Trade Log'!C:C,A18,'Trade Log'!F:F,"BUY"))</f>
        <v/>
      </c>
      <c r="F18" s="3">
        <f>IF(D18&lt;=0,"",D18*E18)</f>
        <v/>
      </c>
      <c r="G18" s="3" t="n"/>
      <c r="H18" s="3">
        <f>IF(D18&lt;=0,"",D18*G18)</f>
        <v/>
      </c>
      <c r="I18" s="3">
        <f>IF(D18&lt;=0,"",H18-F18)</f>
        <v/>
      </c>
      <c r="J18" s="4">
        <f>IF(F18&lt;=0,"",I18/F18)</f>
        <v/>
      </c>
    </row>
    <row r="19">
      <c r="B19">
        <f>IF(A19="","",INDEX('Trade Log'!D:D,MATCH(A19,'Trade Log'!C:C,0)))</f>
        <v/>
      </c>
      <c r="C19">
        <f>IF(A19="","",INDEX('Trade Log'!E:E,MATCH(A19,'Trade Log'!C:C,0)))</f>
        <v/>
      </c>
      <c r="D19" s="3">
        <f>IF(A19="","",SUMIFS('Trade Log'!G:G,'Trade Log'!C:C,A19,'Trade Log'!F:F,"BUY")-SUMIFS('Trade Log'!G:G,'Trade Log'!C:C,A19,'Trade Log'!F:F,"SELL"))</f>
        <v/>
      </c>
      <c r="E19" s="3">
        <f>IF(D19&lt;=0,"",SUMIFS('Trade Log'!K:K,'Trade Log'!C:C,A19,'Trade Log'!F:F,"BUY")/SUMIFS('Trade Log'!G:G,'Trade Log'!C:C,A19,'Trade Log'!F:F,"BUY"))</f>
        <v/>
      </c>
      <c r="F19" s="3">
        <f>IF(D19&lt;=0,"",D19*E19)</f>
        <v/>
      </c>
      <c r="G19" s="3" t="n"/>
      <c r="H19" s="3">
        <f>IF(D19&lt;=0,"",D19*G19)</f>
        <v/>
      </c>
      <c r="I19" s="3">
        <f>IF(D19&lt;=0,"",H19-F19)</f>
        <v/>
      </c>
      <c r="J19" s="4">
        <f>IF(F19&lt;=0,"",I19/F19)</f>
        <v/>
      </c>
    </row>
    <row r="20">
      <c r="B20">
        <f>IF(A20="","",INDEX('Trade Log'!D:D,MATCH(A20,'Trade Log'!C:C,0)))</f>
        <v/>
      </c>
      <c r="C20">
        <f>IF(A20="","",INDEX('Trade Log'!E:E,MATCH(A20,'Trade Log'!C:C,0)))</f>
        <v/>
      </c>
      <c r="D20" s="3">
        <f>IF(A20="","",SUMIFS('Trade Log'!G:G,'Trade Log'!C:C,A20,'Trade Log'!F:F,"BUY")-SUMIFS('Trade Log'!G:G,'Trade Log'!C:C,A20,'Trade Log'!F:F,"SELL"))</f>
        <v/>
      </c>
      <c r="E20" s="3">
        <f>IF(D20&lt;=0,"",SUMIFS('Trade Log'!K:K,'Trade Log'!C:C,A20,'Trade Log'!F:F,"BUY")/SUMIFS('Trade Log'!G:G,'Trade Log'!C:C,A20,'Trade Log'!F:F,"BUY"))</f>
        <v/>
      </c>
      <c r="F20" s="3">
        <f>IF(D20&lt;=0,"",D20*E20)</f>
        <v/>
      </c>
      <c r="G20" s="3" t="n"/>
      <c r="H20" s="3">
        <f>IF(D20&lt;=0,"",D20*G20)</f>
        <v/>
      </c>
      <c r="I20" s="3">
        <f>IF(D20&lt;=0,"",H20-F20)</f>
        <v/>
      </c>
      <c r="J20" s="4">
        <f>IF(F20&lt;=0,"",I20/F20)</f>
        <v/>
      </c>
    </row>
    <row r="21">
      <c r="B21">
        <f>IF(A21="","",INDEX('Trade Log'!D:D,MATCH(A21,'Trade Log'!C:C,0)))</f>
        <v/>
      </c>
      <c r="C21">
        <f>IF(A21="","",INDEX('Trade Log'!E:E,MATCH(A21,'Trade Log'!C:C,0)))</f>
        <v/>
      </c>
      <c r="D21" s="3">
        <f>IF(A21="","",SUMIFS('Trade Log'!G:G,'Trade Log'!C:C,A21,'Trade Log'!F:F,"BUY")-SUMIFS('Trade Log'!G:G,'Trade Log'!C:C,A21,'Trade Log'!F:F,"SELL"))</f>
        <v/>
      </c>
      <c r="E21" s="3">
        <f>IF(D21&lt;=0,"",SUMIFS('Trade Log'!K:K,'Trade Log'!C:C,A21,'Trade Log'!F:F,"BUY")/SUMIFS('Trade Log'!G:G,'Trade Log'!C:C,A21,'Trade Log'!F:F,"BUY"))</f>
        <v/>
      </c>
      <c r="F21" s="3">
        <f>IF(D21&lt;=0,"",D21*E21)</f>
        <v/>
      </c>
      <c r="G21" s="3" t="n"/>
      <c r="H21" s="3">
        <f>IF(D21&lt;=0,"",D21*G21)</f>
        <v/>
      </c>
      <c r="I21" s="3">
        <f>IF(D21&lt;=0,"",H21-F21)</f>
        <v/>
      </c>
      <c r="J21" s="4">
        <f>IF(F21&lt;=0,"",I21/F21)</f>
        <v/>
      </c>
    </row>
    <row r="22">
      <c r="B22">
        <f>IF(A22="","",INDEX('Trade Log'!D:D,MATCH(A22,'Trade Log'!C:C,0)))</f>
        <v/>
      </c>
      <c r="C22">
        <f>IF(A22="","",INDEX('Trade Log'!E:E,MATCH(A22,'Trade Log'!C:C,0)))</f>
        <v/>
      </c>
      <c r="D22" s="3">
        <f>IF(A22="","",SUMIFS('Trade Log'!G:G,'Trade Log'!C:C,A22,'Trade Log'!F:F,"BUY")-SUMIFS('Trade Log'!G:G,'Trade Log'!C:C,A22,'Trade Log'!F:F,"SELL"))</f>
        <v/>
      </c>
      <c r="E22" s="3">
        <f>IF(D22&lt;=0,"",SUMIFS('Trade Log'!K:K,'Trade Log'!C:C,A22,'Trade Log'!F:F,"BUY")/SUMIFS('Trade Log'!G:G,'Trade Log'!C:C,A22,'Trade Log'!F:F,"BUY"))</f>
        <v/>
      </c>
      <c r="F22" s="3">
        <f>IF(D22&lt;=0,"",D22*E22)</f>
        <v/>
      </c>
      <c r="G22" s="3" t="n"/>
      <c r="H22" s="3">
        <f>IF(D22&lt;=0,"",D22*G22)</f>
        <v/>
      </c>
      <c r="I22" s="3">
        <f>IF(D22&lt;=0,"",H22-F22)</f>
        <v/>
      </c>
      <c r="J22" s="4">
        <f>IF(F22&lt;=0,"",I22/F22)</f>
        <v/>
      </c>
    </row>
    <row r="23">
      <c r="B23">
        <f>IF(A23="","",INDEX('Trade Log'!D:D,MATCH(A23,'Trade Log'!C:C,0)))</f>
        <v/>
      </c>
      <c r="C23">
        <f>IF(A23="","",INDEX('Trade Log'!E:E,MATCH(A23,'Trade Log'!C:C,0)))</f>
        <v/>
      </c>
      <c r="D23" s="3">
        <f>IF(A23="","",SUMIFS('Trade Log'!G:G,'Trade Log'!C:C,A23,'Trade Log'!F:F,"BUY")-SUMIFS('Trade Log'!G:G,'Trade Log'!C:C,A23,'Trade Log'!F:F,"SELL"))</f>
        <v/>
      </c>
      <c r="E23" s="3">
        <f>IF(D23&lt;=0,"",SUMIFS('Trade Log'!K:K,'Trade Log'!C:C,A23,'Trade Log'!F:F,"BUY")/SUMIFS('Trade Log'!G:G,'Trade Log'!C:C,A23,'Trade Log'!F:F,"BUY"))</f>
        <v/>
      </c>
      <c r="F23" s="3">
        <f>IF(D23&lt;=0,"",D23*E23)</f>
        <v/>
      </c>
      <c r="G23" s="3" t="n"/>
      <c r="H23" s="3">
        <f>IF(D23&lt;=0,"",D23*G23)</f>
        <v/>
      </c>
      <c r="I23" s="3">
        <f>IF(D23&lt;=0,"",H23-F23)</f>
        <v/>
      </c>
      <c r="J23" s="4">
        <f>IF(F23&lt;=0,"",I23/F23)</f>
        <v/>
      </c>
    </row>
    <row r="24">
      <c r="B24">
        <f>IF(A24="","",INDEX('Trade Log'!D:D,MATCH(A24,'Trade Log'!C:C,0)))</f>
        <v/>
      </c>
      <c r="C24">
        <f>IF(A24="","",INDEX('Trade Log'!E:E,MATCH(A24,'Trade Log'!C:C,0)))</f>
        <v/>
      </c>
      <c r="D24" s="3">
        <f>IF(A24="","",SUMIFS('Trade Log'!G:G,'Trade Log'!C:C,A24,'Trade Log'!F:F,"BUY")-SUMIFS('Trade Log'!G:G,'Trade Log'!C:C,A24,'Trade Log'!F:F,"SELL"))</f>
        <v/>
      </c>
      <c r="E24" s="3">
        <f>IF(D24&lt;=0,"",SUMIFS('Trade Log'!K:K,'Trade Log'!C:C,A24,'Trade Log'!F:F,"BUY")/SUMIFS('Trade Log'!G:G,'Trade Log'!C:C,A24,'Trade Log'!F:F,"BUY"))</f>
        <v/>
      </c>
      <c r="F24" s="3">
        <f>IF(D24&lt;=0,"",D24*E24)</f>
        <v/>
      </c>
      <c r="G24" s="3" t="n"/>
      <c r="H24" s="3">
        <f>IF(D24&lt;=0,"",D24*G24)</f>
        <v/>
      </c>
      <c r="I24" s="3">
        <f>IF(D24&lt;=0,"",H24-F24)</f>
        <v/>
      </c>
      <c r="J24" s="4">
        <f>IF(F24&lt;=0,"",I24/F24)</f>
        <v/>
      </c>
    </row>
    <row r="25">
      <c r="B25">
        <f>IF(A25="","",INDEX('Trade Log'!D:D,MATCH(A25,'Trade Log'!C:C,0)))</f>
        <v/>
      </c>
      <c r="C25">
        <f>IF(A25="","",INDEX('Trade Log'!E:E,MATCH(A25,'Trade Log'!C:C,0)))</f>
        <v/>
      </c>
      <c r="D25" s="3">
        <f>IF(A25="","",SUMIFS('Trade Log'!G:G,'Trade Log'!C:C,A25,'Trade Log'!F:F,"BUY")-SUMIFS('Trade Log'!G:G,'Trade Log'!C:C,A25,'Trade Log'!F:F,"SELL"))</f>
        <v/>
      </c>
      <c r="E25" s="3">
        <f>IF(D25&lt;=0,"",SUMIFS('Trade Log'!K:K,'Trade Log'!C:C,A25,'Trade Log'!F:F,"BUY")/SUMIFS('Trade Log'!G:G,'Trade Log'!C:C,A25,'Trade Log'!F:F,"BUY"))</f>
        <v/>
      </c>
      <c r="F25" s="3">
        <f>IF(D25&lt;=0,"",D25*E25)</f>
        <v/>
      </c>
      <c r="G25" s="3" t="n"/>
      <c r="H25" s="3">
        <f>IF(D25&lt;=0,"",D25*G25)</f>
        <v/>
      </c>
      <c r="I25" s="3">
        <f>IF(D25&lt;=0,"",H25-F25)</f>
        <v/>
      </c>
      <c r="J25" s="4">
        <f>IF(F25&lt;=0,"",I25/F25)</f>
        <v/>
      </c>
    </row>
    <row r="26">
      <c r="B26">
        <f>IF(A26="","",INDEX('Trade Log'!D:D,MATCH(A26,'Trade Log'!C:C,0)))</f>
        <v/>
      </c>
      <c r="C26">
        <f>IF(A26="","",INDEX('Trade Log'!E:E,MATCH(A26,'Trade Log'!C:C,0)))</f>
        <v/>
      </c>
      <c r="D26" s="3">
        <f>IF(A26="","",SUMIFS('Trade Log'!G:G,'Trade Log'!C:C,A26,'Trade Log'!F:F,"BUY")-SUMIFS('Trade Log'!G:G,'Trade Log'!C:C,A26,'Trade Log'!F:F,"SELL"))</f>
        <v/>
      </c>
      <c r="E26" s="3">
        <f>IF(D26&lt;=0,"",SUMIFS('Trade Log'!K:K,'Trade Log'!C:C,A26,'Trade Log'!F:F,"BUY")/SUMIFS('Trade Log'!G:G,'Trade Log'!C:C,A26,'Trade Log'!F:F,"BUY"))</f>
        <v/>
      </c>
      <c r="F26" s="3">
        <f>IF(D26&lt;=0,"",D26*E26)</f>
        <v/>
      </c>
      <c r="G26" s="3" t="n"/>
      <c r="H26" s="3">
        <f>IF(D26&lt;=0,"",D26*G26)</f>
        <v/>
      </c>
      <c r="I26" s="3">
        <f>IF(D26&lt;=0,"",H26-F26)</f>
        <v/>
      </c>
      <c r="J26" s="4">
        <f>IF(F26&lt;=0,"",I26/F26)</f>
        <v/>
      </c>
    </row>
    <row r="27">
      <c r="B27">
        <f>IF(A27="","",INDEX('Trade Log'!D:D,MATCH(A27,'Trade Log'!C:C,0)))</f>
        <v/>
      </c>
      <c r="C27">
        <f>IF(A27="","",INDEX('Trade Log'!E:E,MATCH(A27,'Trade Log'!C:C,0)))</f>
        <v/>
      </c>
      <c r="D27" s="3">
        <f>IF(A27="","",SUMIFS('Trade Log'!G:G,'Trade Log'!C:C,A27,'Trade Log'!F:F,"BUY")-SUMIFS('Trade Log'!G:G,'Trade Log'!C:C,A27,'Trade Log'!F:F,"SELL"))</f>
        <v/>
      </c>
      <c r="E27" s="3">
        <f>IF(D27&lt;=0,"",SUMIFS('Trade Log'!K:K,'Trade Log'!C:C,A27,'Trade Log'!F:F,"BUY")/SUMIFS('Trade Log'!G:G,'Trade Log'!C:C,A27,'Trade Log'!F:F,"BUY"))</f>
        <v/>
      </c>
      <c r="F27" s="3">
        <f>IF(D27&lt;=0,"",D27*E27)</f>
        <v/>
      </c>
      <c r="G27" s="3" t="n"/>
      <c r="H27" s="3">
        <f>IF(D27&lt;=0,"",D27*G27)</f>
        <v/>
      </c>
      <c r="I27" s="3">
        <f>IF(D27&lt;=0,"",H27-F27)</f>
        <v/>
      </c>
      <c r="J27" s="4">
        <f>IF(F27&lt;=0,"",I27/F27)</f>
        <v/>
      </c>
    </row>
    <row r="28">
      <c r="B28">
        <f>IF(A28="","",INDEX('Trade Log'!D:D,MATCH(A28,'Trade Log'!C:C,0)))</f>
        <v/>
      </c>
      <c r="C28">
        <f>IF(A28="","",INDEX('Trade Log'!E:E,MATCH(A28,'Trade Log'!C:C,0)))</f>
        <v/>
      </c>
      <c r="D28" s="3">
        <f>IF(A28="","",SUMIFS('Trade Log'!G:G,'Trade Log'!C:C,A28,'Trade Log'!F:F,"BUY")-SUMIFS('Trade Log'!G:G,'Trade Log'!C:C,A28,'Trade Log'!F:F,"SELL"))</f>
        <v/>
      </c>
      <c r="E28" s="3">
        <f>IF(D28&lt;=0,"",SUMIFS('Trade Log'!K:K,'Trade Log'!C:C,A28,'Trade Log'!F:F,"BUY")/SUMIFS('Trade Log'!G:G,'Trade Log'!C:C,A28,'Trade Log'!F:F,"BUY"))</f>
        <v/>
      </c>
      <c r="F28" s="3">
        <f>IF(D28&lt;=0,"",D28*E28)</f>
        <v/>
      </c>
      <c r="G28" s="3" t="n"/>
      <c r="H28" s="3">
        <f>IF(D28&lt;=0,"",D28*G28)</f>
        <v/>
      </c>
      <c r="I28" s="3">
        <f>IF(D28&lt;=0,"",H28-F28)</f>
        <v/>
      </c>
      <c r="J28" s="4">
        <f>IF(F28&lt;=0,"",I28/F28)</f>
        <v/>
      </c>
    </row>
    <row r="29">
      <c r="B29">
        <f>IF(A29="","",INDEX('Trade Log'!D:D,MATCH(A29,'Trade Log'!C:C,0)))</f>
        <v/>
      </c>
      <c r="C29">
        <f>IF(A29="","",INDEX('Trade Log'!E:E,MATCH(A29,'Trade Log'!C:C,0)))</f>
        <v/>
      </c>
      <c r="D29" s="3">
        <f>IF(A29="","",SUMIFS('Trade Log'!G:G,'Trade Log'!C:C,A29,'Trade Log'!F:F,"BUY")-SUMIFS('Trade Log'!G:G,'Trade Log'!C:C,A29,'Trade Log'!F:F,"SELL"))</f>
        <v/>
      </c>
      <c r="E29" s="3">
        <f>IF(D29&lt;=0,"",SUMIFS('Trade Log'!K:K,'Trade Log'!C:C,A29,'Trade Log'!F:F,"BUY")/SUMIFS('Trade Log'!G:G,'Trade Log'!C:C,A29,'Trade Log'!F:F,"BUY"))</f>
        <v/>
      </c>
      <c r="F29" s="3">
        <f>IF(D29&lt;=0,"",D29*E29)</f>
        <v/>
      </c>
      <c r="G29" s="3" t="n"/>
      <c r="H29" s="3">
        <f>IF(D29&lt;=0,"",D29*G29)</f>
        <v/>
      </c>
      <c r="I29" s="3">
        <f>IF(D29&lt;=0,"",H29-F29)</f>
        <v/>
      </c>
      <c r="J29" s="4">
        <f>IF(F29&lt;=0,"",I29/F29)</f>
        <v/>
      </c>
    </row>
    <row r="30">
      <c r="B30">
        <f>IF(A30="","",INDEX('Trade Log'!D:D,MATCH(A30,'Trade Log'!C:C,0)))</f>
        <v/>
      </c>
      <c r="C30">
        <f>IF(A30="","",INDEX('Trade Log'!E:E,MATCH(A30,'Trade Log'!C:C,0)))</f>
        <v/>
      </c>
      <c r="D30" s="3">
        <f>IF(A30="","",SUMIFS('Trade Log'!G:G,'Trade Log'!C:C,A30,'Trade Log'!F:F,"BUY")-SUMIFS('Trade Log'!G:G,'Trade Log'!C:C,A30,'Trade Log'!F:F,"SELL"))</f>
        <v/>
      </c>
      <c r="E30" s="3">
        <f>IF(D30&lt;=0,"",SUMIFS('Trade Log'!K:K,'Trade Log'!C:C,A30,'Trade Log'!F:F,"BUY")/SUMIFS('Trade Log'!G:G,'Trade Log'!C:C,A30,'Trade Log'!F:F,"BUY"))</f>
        <v/>
      </c>
      <c r="F30" s="3">
        <f>IF(D30&lt;=0,"",D30*E30)</f>
        <v/>
      </c>
      <c r="G30" s="3" t="n"/>
      <c r="H30" s="3">
        <f>IF(D30&lt;=0,"",D30*G30)</f>
        <v/>
      </c>
      <c r="I30" s="3">
        <f>IF(D30&lt;=0,"",H30-F30)</f>
        <v/>
      </c>
      <c r="J30" s="4">
        <f>IF(F30&lt;=0,"",I30/F30)</f>
        <v/>
      </c>
    </row>
    <row r="31">
      <c r="B31">
        <f>IF(A31="","",INDEX('Trade Log'!D:D,MATCH(A31,'Trade Log'!C:C,0)))</f>
        <v/>
      </c>
      <c r="C31">
        <f>IF(A31="","",INDEX('Trade Log'!E:E,MATCH(A31,'Trade Log'!C:C,0)))</f>
        <v/>
      </c>
      <c r="D31" s="3">
        <f>IF(A31="","",SUMIFS('Trade Log'!G:G,'Trade Log'!C:C,A31,'Trade Log'!F:F,"BUY")-SUMIFS('Trade Log'!G:G,'Trade Log'!C:C,A31,'Trade Log'!F:F,"SELL"))</f>
        <v/>
      </c>
      <c r="E31" s="3">
        <f>IF(D31&lt;=0,"",SUMIFS('Trade Log'!K:K,'Trade Log'!C:C,A31,'Trade Log'!F:F,"BUY")/SUMIFS('Trade Log'!G:G,'Trade Log'!C:C,A31,'Trade Log'!F:F,"BUY"))</f>
        <v/>
      </c>
      <c r="F31" s="3">
        <f>IF(D31&lt;=0,"",D31*E31)</f>
        <v/>
      </c>
      <c r="G31" s="3" t="n"/>
      <c r="H31" s="3">
        <f>IF(D31&lt;=0,"",D31*G31)</f>
        <v/>
      </c>
      <c r="I31" s="3">
        <f>IF(D31&lt;=0,"",H31-F31)</f>
        <v/>
      </c>
      <c r="J31" s="4">
        <f>IF(F31&lt;=0,"",I31/F31)</f>
        <v/>
      </c>
    </row>
    <row r="32">
      <c r="B32">
        <f>IF(A32="","",INDEX('Trade Log'!D:D,MATCH(A32,'Trade Log'!C:C,0)))</f>
        <v/>
      </c>
      <c r="C32">
        <f>IF(A32="","",INDEX('Trade Log'!E:E,MATCH(A32,'Trade Log'!C:C,0)))</f>
        <v/>
      </c>
      <c r="D32" s="3">
        <f>IF(A32="","",SUMIFS('Trade Log'!G:G,'Trade Log'!C:C,A32,'Trade Log'!F:F,"BUY")-SUMIFS('Trade Log'!G:G,'Trade Log'!C:C,A32,'Trade Log'!F:F,"SELL"))</f>
        <v/>
      </c>
      <c r="E32" s="3">
        <f>IF(D32&lt;=0,"",SUMIFS('Trade Log'!K:K,'Trade Log'!C:C,A32,'Trade Log'!F:F,"BUY")/SUMIFS('Trade Log'!G:G,'Trade Log'!C:C,A32,'Trade Log'!F:F,"BUY"))</f>
        <v/>
      </c>
      <c r="F32" s="3">
        <f>IF(D32&lt;=0,"",D32*E32)</f>
        <v/>
      </c>
      <c r="G32" s="3" t="n"/>
      <c r="H32" s="3">
        <f>IF(D32&lt;=0,"",D32*G32)</f>
        <v/>
      </c>
      <c r="I32" s="3">
        <f>IF(D32&lt;=0,"",H32-F32)</f>
        <v/>
      </c>
      <c r="J32" s="4">
        <f>IF(F32&lt;=0,"",I32/F32)</f>
        <v/>
      </c>
    </row>
    <row r="33">
      <c r="B33">
        <f>IF(A33="","",INDEX('Trade Log'!D:D,MATCH(A33,'Trade Log'!C:C,0)))</f>
        <v/>
      </c>
      <c r="C33">
        <f>IF(A33="","",INDEX('Trade Log'!E:E,MATCH(A33,'Trade Log'!C:C,0)))</f>
        <v/>
      </c>
      <c r="D33" s="3">
        <f>IF(A33="","",SUMIFS('Trade Log'!G:G,'Trade Log'!C:C,A33,'Trade Log'!F:F,"BUY")-SUMIFS('Trade Log'!G:G,'Trade Log'!C:C,A33,'Trade Log'!F:F,"SELL"))</f>
        <v/>
      </c>
      <c r="E33" s="3">
        <f>IF(D33&lt;=0,"",SUMIFS('Trade Log'!K:K,'Trade Log'!C:C,A33,'Trade Log'!F:F,"BUY")/SUMIFS('Trade Log'!G:G,'Trade Log'!C:C,A33,'Trade Log'!F:F,"BUY"))</f>
        <v/>
      </c>
      <c r="F33" s="3">
        <f>IF(D33&lt;=0,"",D33*E33)</f>
        <v/>
      </c>
      <c r="G33" s="3" t="n"/>
      <c r="H33" s="3">
        <f>IF(D33&lt;=0,"",D33*G33)</f>
        <v/>
      </c>
      <c r="I33" s="3">
        <f>IF(D33&lt;=0,"",H33-F33)</f>
        <v/>
      </c>
      <c r="J33" s="4">
        <f>IF(F33&lt;=0,"",I33/F33)</f>
        <v/>
      </c>
    </row>
    <row r="34">
      <c r="B34">
        <f>IF(A34="","",INDEX('Trade Log'!D:D,MATCH(A34,'Trade Log'!C:C,0)))</f>
        <v/>
      </c>
      <c r="C34">
        <f>IF(A34="","",INDEX('Trade Log'!E:E,MATCH(A34,'Trade Log'!C:C,0)))</f>
        <v/>
      </c>
      <c r="D34" s="3">
        <f>IF(A34="","",SUMIFS('Trade Log'!G:G,'Trade Log'!C:C,A34,'Trade Log'!F:F,"BUY")-SUMIFS('Trade Log'!G:G,'Trade Log'!C:C,A34,'Trade Log'!F:F,"SELL"))</f>
        <v/>
      </c>
      <c r="E34" s="3">
        <f>IF(D34&lt;=0,"",SUMIFS('Trade Log'!K:K,'Trade Log'!C:C,A34,'Trade Log'!F:F,"BUY")/SUMIFS('Trade Log'!G:G,'Trade Log'!C:C,A34,'Trade Log'!F:F,"BUY"))</f>
        <v/>
      </c>
      <c r="F34" s="3">
        <f>IF(D34&lt;=0,"",D34*E34)</f>
        <v/>
      </c>
      <c r="G34" s="3" t="n"/>
      <c r="H34" s="3">
        <f>IF(D34&lt;=0,"",D34*G34)</f>
        <v/>
      </c>
      <c r="I34" s="3">
        <f>IF(D34&lt;=0,"",H34-F34)</f>
        <v/>
      </c>
      <c r="J34" s="4">
        <f>IF(F34&lt;=0,"",I34/F34)</f>
        <v/>
      </c>
    </row>
    <row r="35">
      <c r="B35">
        <f>IF(A35="","",INDEX('Trade Log'!D:D,MATCH(A35,'Trade Log'!C:C,0)))</f>
        <v/>
      </c>
      <c r="C35">
        <f>IF(A35="","",INDEX('Trade Log'!E:E,MATCH(A35,'Trade Log'!C:C,0)))</f>
        <v/>
      </c>
      <c r="D35" s="3">
        <f>IF(A35="","",SUMIFS('Trade Log'!G:G,'Trade Log'!C:C,A35,'Trade Log'!F:F,"BUY")-SUMIFS('Trade Log'!G:G,'Trade Log'!C:C,A35,'Trade Log'!F:F,"SELL"))</f>
        <v/>
      </c>
      <c r="E35" s="3">
        <f>IF(D35&lt;=0,"",SUMIFS('Trade Log'!K:K,'Trade Log'!C:C,A35,'Trade Log'!F:F,"BUY")/SUMIFS('Trade Log'!G:G,'Trade Log'!C:C,A35,'Trade Log'!F:F,"BUY"))</f>
        <v/>
      </c>
      <c r="F35" s="3">
        <f>IF(D35&lt;=0,"",D35*E35)</f>
        <v/>
      </c>
      <c r="G35" s="3" t="n"/>
      <c r="H35" s="3">
        <f>IF(D35&lt;=0,"",D35*G35)</f>
        <v/>
      </c>
      <c r="I35" s="3">
        <f>IF(D35&lt;=0,"",H35-F35)</f>
        <v/>
      </c>
      <c r="J35" s="4">
        <f>IF(F35&lt;=0,"",I35/F35)</f>
        <v/>
      </c>
    </row>
    <row r="36">
      <c r="B36">
        <f>IF(A36="","",INDEX('Trade Log'!D:D,MATCH(A36,'Trade Log'!C:C,0)))</f>
        <v/>
      </c>
      <c r="C36">
        <f>IF(A36="","",INDEX('Trade Log'!E:E,MATCH(A36,'Trade Log'!C:C,0)))</f>
        <v/>
      </c>
      <c r="D36" s="3">
        <f>IF(A36="","",SUMIFS('Trade Log'!G:G,'Trade Log'!C:C,A36,'Trade Log'!F:F,"BUY")-SUMIFS('Trade Log'!G:G,'Trade Log'!C:C,A36,'Trade Log'!F:F,"SELL"))</f>
        <v/>
      </c>
      <c r="E36" s="3">
        <f>IF(D36&lt;=0,"",SUMIFS('Trade Log'!K:K,'Trade Log'!C:C,A36,'Trade Log'!F:F,"BUY")/SUMIFS('Trade Log'!G:G,'Trade Log'!C:C,A36,'Trade Log'!F:F,"BUY"))</f>
        <v/>
      </c>
      <c r="F36" s="3">
        <f>IF(D36&lt;=0,"",D36*E36)</f>
        <v/>
      </c>
      <c r="G36" s="3" t="n"/>
      <c r="H36" s="3">
        <f>IF(D36&lt;=0,"",D36*G36)</f>
        <v/>
      </c>
      <c r="I36" s="3">
        <f>IF(D36&lt;=0,"",H36-F36)</f>
        <v/>
      </c>
      <c r="J36" s="4">
        <f>IF(F36&lt;=0,"",I36/F36)</f>
        <v/>
      </c>
    </row>
    <row r="37">
      <c r="B37">
        <f>IF(A37="","",INDEX('Trade Log'!D:D,MATCH(A37,'Trade Log'!C:C,0)))</f>
        <v/>
      </c>
      <c r="C37">
        <f>IF(A37="","",INDEX('Trade Log'!E:E,MATCH(A37,'Trade Log'!C:C,0)))</f>
        <v/>
      </c>
      <c r="D37" s="3">
        <f>IF(A37="","",SUMIFS('Trade Log'!G:G,'Trade Log'!C:C,A37,'Trade Log'!F:F,"BUY")-SUMIFS('Trade Log'!G:G,'Trade Log'!C:C,A37,'Trade Log'!F:F,"SELL"))</f>
        <v/>
      </c>
      <c r="E37" s="3">
        <f>IF(D37&lt;=0,"",SUMIFS('Trade Log'!K:K,'Trade Log'!C:C,A37,'Trade Log'!F:F,"BUY")/SUMIFS('Trade Log'!G:G,'Trade Log'!C:C,A37,'Trade Log'!F:F,"BUY"))</f>
        <v/>
      </c>
      <c r="F37" s="3">
        <f>IF(D37&lt;=0,"",D37*E37)</f>
        <v/>
      </c>
      <c r="G37" s="3" t="n"/>
      <c r="H37" s="3">
        <f>IF(D37&lt;=0,"",D37*G37)</f>
        <v/>
      </c>
      <c r="I37" s="3">
        <f>IF(D37&lt;=0,"",H37-F37)</f>
        <v/>
      </c>
      <c r="J37" s="4">
        <f>IF(F37&lt;=0,"",I37/F37)</f>
        <v/>
      </c>
    </row>
    <row r="38">
      <c r="B38">
        <f>IF(A38="","",INDEX('Trade Log'!D:D,MATCH(A38,'Trade Log'!C:C,0)))</f>
        <v/>
      </c>
      <c r="C38">
        <f>IF(A38="","",INDEX('Trade Log'!E:E,MATCH(A38,'Trade Log'!C:C,0)))</f>
        <v/>
      </c>
      <c r="D38" s="3">
        <f>IF(A38="","",SUMIFS('Trade Log'!G:G,'Trade Log'!C:C,A38,'Trade Log'!F:F,"BUY")-SUMIFS('Trade Log'!G:G,'Trade Log'!C:C,A38,'Trade Log'!F:F,"SELL"))</f>
        <v/>
      </c>
      <c r="E38" s="3">
        <f>IF(D38&lt;=0,"",SUMIFS('Trade Log'!K:K,'Trade Log'!C:C,A38,'Trade Log'!F:F,"BUY")/SUMIFS('Trade Log'!G:G,'Trade Log'!C:C,A38,'Trade Log'!F:F,"BUY"))</f>
        <v/>
      </c>
      <c r="F38" s="3">
        <f>IF(D38&lt;=0,"",D38*E38)</f>
        <v/>
      </c>
      <c r="G38" s="3" t="n"/>
      <c r="H38" s="3">
        <f>IF(D38&lt;=0,"",D38*G38)</f>
        <v/>
      </c>
      <c r="I38" s="3">
        <f>IF(D38&lt;=0,"",H38-F38)</f>
        <v/>
      </c>
      <c r="J38" s="4">
        <f>IF(F38&lt;=0,"",I38/F38)</f>
        <v/>
      </c>
    </row>
    <row r="39">
      <c r="B39">
        <f>IF(A39="","",INDEX('Trade Log'!D:D,MATCH(A39,'Trade Log'!C:C,0)))</f>
        <v/>
      </c>
      <c r="C39">
        <f>IF(A39="","",INDEX('Trade Log'!E:E,MATCH(A39,'Trade Log'!C:C,0)))</f>
        <v/>
      </c>
      <c r="D39" s="3">
        <f>IF(A39="","",SUMIFS('Trade Log'!G:G,'Trade Log'!C:C,A39,'Trade Log'!F:F,"BUY")-SUMIFS('Trade Log'!G:G,'Trade Log'!C:C,A39,'Trade Log'!F:F,"SELL"))</f>
        <v/>
      </c>
      <c r="E39" s="3">
        <f>IF(D39&lt;=0,"",SUMIFS('Trade Log'!K:K,'Trade Log'!C:C,A39,'Trade Log'!F:F,"BUY")/SUMIFS('Trade Log'!G:G,'Trade Log'!C:C,A39,'Trade Log'!F:F,"BUY"))</f>
        <v/>
      </c>
      <c r="F39" s="3">
        <f>IF(D39&lt;=0,"",D39*E39)</f>
        <v/>
      </c>
      <c r="G39" s="3" t="n"/>
      <c r="H39" s="3">
        <f>IF(D39&lt;=0,"",D39*G39)</f>
        <v/>
      </c>
      <c r="I39" s="3">
        <f>IF(D39&lt;=0,"",H39-F39)</f>
        <v/>
      </c>
      <c r="J39" s="4">
        <f>IF(F39&lt;=0,"",I39/F39)</f>
        <v/>
      </c>
    </row>
    <row r="40">
      <c r="B40">
        <f>IF(A40="","",INDEX('Trade Log'!D:D,MATCH(A40,'Trade Log'!C:C,0)))</f>
        <v/>
      </c>
      <c r="C40">
        <f>IF(A40="","",INDEX('Trade Log'!E:E,MATCH(A40,'Trade Log'!C:C,0)))</f>
        <v/>
      </c>
      <c r="D40" s="3">
        <f>IF(A40="","",SUMIFS('Trade Log'!G:G,'Trade Log'!C:C,A40,'Trade Log'!F:F,"BUY")-SUMIFS('Trade Log'!G:G,'Trade Log'!C:C,A40,'Trade Log'!F:F,"SELL"))</f>
        <v/>
      </c>
      <c r="E40" s="3">
        <f>IF(D40&lt;=0,"",SUMIFS('Trade Log'!K:K,'Trade Log'!C:C,A40,'Trade Log'!F:F,"BUY")/SUMIFS('Trade Log'!G:G,'Trade Log'!C:C,A40,'Trade Log'!F:F,"BUY"))</f>
        <v/>
      </c>
      <c r="F40" s="3">
        <f>IF(D40&lt;=0,"",D40*E40)</f>
        <v/>
      </c>
      <c r="G40" s="3" t="n"/>
      <c r="H40" s="3">
        <f>IF(D40&lt;=0,"",D40*G40)</f>
        <v/>
      </c>
      <c r="I40" s="3">
        <f>IF(D40&lt;=0,"",H40-F40)</f>
        <v/>
      </c>
      <c r="J40" s="4">
        <f>IF(F40&lt;=0,"",I40/F40)</f>
        <v/>
      </c>
    </row>
    <row r="41">
      <c r="B41">
        <f>IF(A41="","",INDEX('Trade Log'!D:D,MATCH(A41,'Trade Log'!C:C,0)))</f>
        <v/>
      </c>
      <c r="C41">
        <f>IF(A41="","",INDEX('Trade Log'!E:E,MATCH(A41,'Trade Log'!C:C,0)))</f>
        <v/>
      </c>
      <c r="D41" s="3">
        <f>IF(A41="","",SUMIFS('Trade Log'!G:G,'Trade Log'!C:C,A41,'Trade Log'!F:F,"BUY")-SUMIFS('Trade Log'!G:G,'Trade Log'!C:C,A41,'Trade Log'!F:F,"SELL"))</f>
        <v/>
      </c>
      <c r="E41" s="3">
        <f>IF(D41&lt;=0,"",SUMIFS('Trade Log'!K:K,'Trade Log'!C:C,A41,'Trade Log'!F:F,"BUY")/SUMIFS('Trade Log'!G:G,'Trade Log'!C:C,A41,'Trade Log'!F:F,"BUY"))</f>
        <v/>
      </c>
      <c r="F41" s="3">
        <f>IF(D41&lt;=0,"",D41*E41)</f>
        <v/>
      </c>
      <c r="G41" s="3" t="n"/>
      <c r="H41" s="3">
        <f>IF(D41&lt;=0,"",D41*G41)</f>
        <v/>
      </c>
      <c r="I41" s="3">
        <f>IF(D41&lt;=0,"",H41-F41)</f>
        <v/>
      </c>
      <c r="J41" s="4">
        <f>IF(F41&lt;=0,"",I41/F41)</f>
        <v/>
      </c>
    </row>
    <row r="42">
      <c r="B42">
        <f>IF(A42="","",INDEX('Trade Log'!D:D,MATCH(A42,'Trade Log'!C:C,0)))</f>
        <v/>
      </c>
      <c r="C42">
        <f>IF(A42="","",INDEX('Trade Log'!E:E,MATCH(A42,'Trade Log'!C:C,0)))</f>
        <v/>
      </c>
      <c r="D42" s="3">
        <f>IF(A42="","",SUMIFS('Trade Log'!G:G,'Trade Log'!C:C,A42,'Trade Log'!F:F,"BUY")-SUMIFS('Trade Log'!G:G,'Trade Log'!C:C,A42,'Trade Log'!F:F,"SELL"))</f>
        <v/>
      </c>
      <c r="E42" s="3">
        <f>IF(D42&lt;=0,"",SUMIFS('Trade Log'!K:K,'Trade Log'!C:C,A42,'Trade Log'!F:F,"BUY")/SUMIFS('Trade Log'!G:G,'Trade Log'!C:C,A42,'Trade Log'!F:F,"BUY"))</f>
        <v/>
      </c>
      <c r="F42" s="3">
        <f>IF(D42&lt;=0,"",D42*E42)</f>
        <v/>
      </c>
      <c r="G42" s="3" t="n"/>
      <c r="H42" s="3">
        <f>IF(D42&lt;=0,"",D42*G42)</f>
        <v/>
      </c>
      <c r="I42" s="3">
        <f>IF(D42&lt;=0,"",H42-F42)</f>
        <v/>
      </c>
      <c r="J42" s="4">
        <f>IF(F42&lt;=0,"",I42/F42)</f>
        <v/>
      </c>
    </row>
    <row r="43">
      <c r="B43">
        <f>IF(A43="","",INDEX('Trade Log'!D:D,MATCH(A43,'Trade Log'!C:C,0)))</f>
        <v/>
      </c>
      <c r="C43">
        <f>IF(A43="","",INDEX('Trade Log'!E:E,MATCH(A43,'Trade Log'!C:C,0)))</f>
        <v/>
      </c>
      <c r="D43" s="3">
        <f>IF(A43="","",SUMIFS('Trade Log'!G:G,'Trade Log'!C:C,A43,'Trade Log'!F:F,"BUY")-SUMIFS('Trade Log'!G:G,'Trade Log'!C:C,A43,'Trade Log'!F:F,"SELL"))</f>
        <v/>
      </c>
      <c r="E43" s="3">
        <f>IF(D43&lt;=0,"",SUMIFS('Trade Log'!K:K,'Trade Log'!C:C,A43,'Trade Log'!F:F,"BUY")/SUMIFS('Trade Log'!G:G,'Trade Log'!C:C,A43,'Trade Log'!F:F,"BUY"))</f>
        <v/>
      </c>
      <c r="F43" s="3">
        <f>IF(D43&lt;=0,"",D43*E43)</f>
        <v/>
      </c>
      <c r="G43" s="3" t="n"/>
      <c r="H43" s="3">
        <f>IF(D43&lt;=0,"",D43*G43)</f>
        <v/>
      </c>
      <c r="I43" s="3">
        <f>IF(D43&lt;=0,"",H43-F43)</f>
        <v/>
      </c>
      <c r="J43" s="4">
        <f>IF(F43&lt;=0,"",I43/F43)</f>
        <v/>
      </c>
    </row>
    <row r="44">
      <c r="B44">
        <f>IF(A44="","",INDEX('Trade Log'!D:D,MATCH(A44,'Trade Log'!C:C,0)))</f>
        <v/>
      </c>
      <c r="C44">
        <f>IF(A44="","",INDEX('Trade Log'!E:E,MATCH(A44,'Trade Log'!C:C,0)))</f>
        <v/>
      </c>
      <c r="D44" s="3">
        <f>IF(A44="","",SUMIFS('Trade Log'!G:G,'Trade Log'!C:C,A44,'Trade Log'!F:F,"BUY")-SUMIFS('Trade Log'!G:G,'Trade Log'!C:C,A44,'Trade Log'!F:F,"SELL"))</f>
        <v/>
      </c>
      <c r="E44" s="3">
        <f>IF(D44&lt;=0,"",SUMIFS('Trade Log'!K:K,'Trade Log'!C:C,A44,'Trade Log'!F:F,"BUY")/SUMIFS('Trade Log'!G:G,'Trade Log'!C:C,A44,'Trade Log'!F:F,"BUY"))</f>
        <v/>
      </c>
      <c r="F44" s="3">
        <f>IF(D44&lt;=0,"",D44*E44)</f>
        <v/>
      </c>
      <c r="G44" s="3" t="n"/>
      <c r="H44" s="3">
        <f>IF(D44&lt;=0,"",D44*G44)</f>
        <v/>
      </c>
      <c r="I44" s="3">
        <f>IF(D44&lt;=0,"",H44-F44)</f>
        <v/>
      </c>
      <c r="J44" s="4">
        <f>IF(F44&lt;=0,"",I44/F44)</f>
        <v/>
      </c>
    </row>
    <row r="45">
      <c r="B45">
        <f>IF(A45="","",INDEX('Trade Log'!D:D,MATCH(A45,'Trade Log'!C:C,0)))</f>
        <v/>
      </c>
      <c r="C45">
        <f>IF(A45="","",INDEX('Trade Log'!E:E,MATCH(A45,'Trade Log'!C:C,0)))</f>
        <v/>
      </c>
      <c r="D45" s="3">
        <f>IF(A45="","",SUMIFS('Trade Log'!G:G,'Trade Log'!C:C,A45,'Trade Log'!F:F,"BUY")-SUMIFS('Trade Log'!G:G,'Trade Log'!C:C,A45,'Trade Log'!F:F,"SELL"))</f>
        <v/>
      </c>
      <c r="E45" s="3">
        <f>IF(D45&lt;=0,"",SUMIFS('Trade Log'!K:K,'Trade Log'!C:C,A45,'Trade Log'!F:F,"BUY")/SUMIFS('Trade Log'!G:G,'Trade Log'!C:C,A45,'Trade Log'!F:F,"BUY"))</f>
        <v/>
      </c>
      <c r="F45" s="3">
        <f>IF(D45&lt;=0,"",D45*E45)</f>
        <v/>
      </c>
      <c r="G45" s="3" t="n"/>
      <c r="H45" s="3">
        <f>IF(D45&lt;=0,"",D45*G45)</f>
        <v/>
      </c>
      <c r="I45" s="3">
        <f>IF(D45&lt;=0,"",H45-F45)</f>
        <v/>
      </c>
      <c r="J45" s="4">
        <f>IF(F45&lt;=0,"",I45/F45)</f>
        <v/>
      </c>
    </row>
    <row r="46">
      <c r="B46">
        <f>IF(A46="","",INDEX('Trade Log'!D:D,MATCH(A46,'Trade Log'!C:C,0)))</f>
        <v/>
      </c>
      <c r="C46">
        <f>IF(A46="","",INDEX('Trade Log'!E:E,MATCH(A46,'Trade Log'!C:C,0)))</f>
        <v/>
      </c>
      <c r="D46" s="3">
        <f>IF(A46="","",SUMIFS('Trade Log'!G:G,'Trade Log'!C:C,A46,'Trade Log'!F:F,"BUY")-SUMIFS('Trade Log'!G:G,'Trade Log'!C:C,A46,'Trade Log'!F:F,"SELL"))</f>
        <v/>
      </c>
      <c r="E46" s="3">
        <f>IF(D46&lt;=0,"",SUMIFS('Trade Log'!K:K,'Trade Log'!C:C,A46,'Trade Log'!F:F,"BUY")/SUMIFS('Trade Log'!G:G,'Trade Log'!C:C,A46,'Trade Log'!F:F,"BUY"))</f>
        <v/>
      </c>
      <c r="F46" s="3">
        <f>IF(D46&lt;=0,"",D46*E46)</f>
        <v/>
      </c>
      <c r="G46" s="3" t="n"/>
      <c r="H46" s="3">
        <f>IF(D46&lt;=0,"",D46*G46)</f>
        <v/>
      </c>
      <c r="I46" s="3">
        <f>IF(D46&lt;=0,"",H46-F46)</f>
        <v/>
      </c>
      <c r="J46" s="4">
        <f>IF(F46&lt;=0,"",I46/F46)</f>
        <v/>
      </c>
    </row>
    <row r="47">
      <c r="B47">
        <f>IF(A47="","",INDEX('Trade Log'!D:D,MATCH(A47,'Trade Log'!C:C,0)))</f>
        <v/>
      </c>
      <c r="C47">
        <f>IF(A47="","",INDEX('Trade Log'!E:E,MATCH(A47,'Trade Log'!C:C,0)))</f>
        <v/>
      </c>
      <c r="D47" s="3">
        <f>IF(A47="","",SUMIFS('Trade Log'!G:G,'Trade Log'!C:C,A47,'Trade Log'!F:F,"BUY")-SUMIFS('Trade Log'!G:G,'Trade Log'!C:C,A47,'Trade Log'!F:F,"SELL"))</f>
        <v/>
      </c>
      <c r="E47" s="3">
        <f>IF(D47&lt;=0,"",SUMIFS('Trade Log'!K:K,'Trade Log'!C:C,A47,'Trade Log'!F:F,"BUY")/SUMIFS('Trade Log'!G:G,'Trade Log'!C:C,A47,'Trade Log'!F:F,"BUY"))</f>
        <v/>
      </c>
      <c r="F47" s="3">
        <f>IF(D47&lt;=0,"",D47*E47)</f>
        <v/>
      </c>
      <c r="G47" s="3" t="n"/>
      <c r="H47" s="3">
        <f>IF(D47&lt;=0,"",D47*G47)</f>
        <v/>
      </c>
      <c r="I47" s="3">
        <f>IF(D47&lt;=0,"",H47-F47)</f>
        <v/>
      </c>
      <c r="J47" s="4">
        <f>IF(F47&lt;=0,"",I47/F47)</f>
        <v/>
      </c>
    </row>
    <row r="48">
      <c r="B48">
        <f>IF(A48="","",INDEX('Trade Log'!D:D,MATCH(A48,'Trade Log'!C:C,0)))</f>
        <v/>
      </c>
      <c r="C48">
        <f>IF(A48="","",INDEX('Trade Log'!E:E,MATCH(A48,'Trade Log'!C:C,0)))</f>
        <v/>
      </c>
      <c r="D48" s="3">
        <f>IF(A48="","",SUMIFS('Trade Log'!G:G,'Trade Log'!C:C,A48,'Trade Log'!F:F,"BUY")-SUMIFS('Trade Log'!G:G,'Trade Log'!C:C,A48,'Trade Log'!F:F,"SELL"))</f>
        <v/>
      </c>
      <c r="E48" s="3">
        <f>IF(D48&lt;=0,"",SUMIFS('Trade Log'!K:K,'Trade Log'!C:C,A48,'Trade Log'!F:F,"BUY")/SUMIFS('Trade Log'!G:G,'Trade Log'!C:C,A48,'Trade Log'!F:F,"BUY"))</f>
        <v/>
      </c>
      <c r="F48" s="3">
        <f>IF(D48&lt;=0,"",D48*E48)</f>
        <v/>
      </c>
      <c r="G48" s="3" t="n"/>
      <c r="H48" s="3">
        <f>IF(D48&lt;=0,"",D48*G48)</f>
        <v/>
      </c>
      <c r="I48" s="3">
        <f>IF(D48&lt;=0,"",H48-F48)</f>
        <v/>
      </c>
      <c r="J48" s="4">
        <f>IF(F48&lt;=0,"",I48/F48)</f>
        <v/>
      </c>
    </row>
    <row r="49">
      <c r="B49">
        <f>IF(A49="","",INDEX('Trade Log'!D:D,MATCH(A49,'Trade Log'!C:C,0)))</f>
        <v/>
      </c>
      <c r="C49">
        <f>IF(A49="","",INDEX('Trade Log'!E:E,MATCH(A49,'Trade Log'!C:C,0)))</f>
        <v/>
      </c>
      <c r="D49" s="3">
        <f>IF(A49="","",SUMIFS('Trade Log'!G:G,'Trade Log'!C:C,A49,'Trade Log'!F:F,"BUY")-SUMIFS('Trade Log'!G:G,'Trade Log'!C:C,A49,'Trade Log'!F:F,"SELL"))</f>
        <v/>
      </c>
      <c r="E49" s="3">
        <f>IF(D49&lt;=0,"",SUMIFS('Trade Log'!K:K,'Trade Log'!C:C,A49,'Trade Log'!F:F,"BUY")/SUMIFS('Trade Log'!G:G,'Trade Log'!C:C,A49,'Trade Log'!F:F,"BUY"))</f>
        <v/>
      </c>
      <c r="F49" s="3">
        <f>IF(D49&lt;=0,"",D49*E49)</f>
        <v/>
      </c>
      <c r="G49" s="3" t="n"/>
      <c r="H49" s="3">
        <f>IF(D49&lt;=0,"",D49*G49)</f>
        <v/>
      </c>
      <c r="I49" s="3">
        <f>IF(D49&lt;=0,"",H49-F49)</f>
        <v/>
      </c>
      <c r="J49" s="4">
        <f>IF(F49&lt;=0,"",I49/F49)</f>
        <v/>
      </c>
    </row>
    <row r="50">
      <c r="B50">
        <f>IF(A50="","",INDEX('Trade Log'!D:D,MATCH(A50,'Trade Log'!C:C,0)))</f>
        <v/>
      </c>
      <c r="C50">
        <f>IF(A50="","",INDEX('Trade Log'!E:E,MATCH(A50,'Trade Log'!C:C,0)))</f>
        <v/>
      </c>
      <c r="D50" s="3">
        <f>IF(A50="","",SUMIFS('Trade Log'!G:G,'Trade Log'!C:C,A50,'Trade Log'!F:F,"BUY")-SUMIFS('Trade Log'!G:G,'Trade Log'!C:C,A50,'Trade Log'!F:F,"SELL"))</f>
        <v/>
      </c>
      <c r="E50" s="3">
        <f>IF(D50&lt;=0,"",SUMIFS('Trade Log'!K:K,'Trade Log'!C:C,A50,'Trade Log'!F:F,"BUY")/SUMIFS('Trade Log'!G:G,'Trade Log'!C:C,A50,'Trade Log'!F:F,"BUY"))</f>
        <v/>
      </c>
      <c r="F50" s="3">
        <f>IF(D50&lt;=0,"",D50*E50)</f>
        <v/>
      </c>
      <c r="G50" s="3" t="n"/>
      <c r="H50" s="3">
        <f>IF(D50&lt;=0,"",D50*G50)</f>
        <v/>
      </c>
      <c r="I50" s="3">
        <f>IF(D50&lt;=0,"",H50-F50)</f>
        <v/>
      </c>
      <c r="J50" s="4">
        <f>IF(F50&lt;=0,"",I50/F50)</f>
        <v/>
      </c>
    </row>
    <row r="51">
      <c r="B51">
        <f>IF(A51="","",INDEX('Trade Log'!D:D,MATCH(A51,'Trade Log'!C:C,0)))</f>
        <v/>
      </c>
      <c r="C51">
        <f>IF(A51="","",INDEX('Trade Log'!E:E,MATCH(A51,'Trade Log'!C:C,0)))</f>
        <v/>
      </c>
      <c r="D51" s="3">
        <f>IF(A51="","",SUMIFS('Trade Log'!G:G,'Trade Log'!C:C,A51,'Trade Log'!F:F,"BUY")-SUMIFS('Trade Log'!G:G,'Trade Log'!C:C,A51,'Trade Log'!F:F,"SELL"))</f>
        <v/>
      </c>
      <c r="E51" s="3">
        <f>IF(D51&lt;=0,"",SUMIFS('Trade Log'!K:K,'Trade Log'!C:C,A51,'Trade Log'!F:F,"BUY")/SUMIFS('Trade Log'!G:G,'Trade Log'!C:C,A51,'Trade Log'!F:F,"BUY"))</f>
        <v/>
      </c>
      <c r="F51" s="3">
        <f>IF(D51&lt;=0,"",D51*E51)</f>
        <v/>
      </c>
      <c r="G51" s="3" t="n"/>
      <c r="H51" s="3">
        <f>IF(D51&lt;=0,"",D51*G51)</f>
        <v/>
      </c>
      <c r="I51" s="3">
        <f>IF(D51&lt;=0,"",H51-F51)</f>
        <v/>
      </c>
      <c r="J51" s="4">
        <f>IF(F51&lt;=0,"",I51/F51)</f>
        <v/>
      </c>
    </row>
    <row r="52">
      <c r="B52">
        <f>IF(A52="","",INDEX('Trade Log'!D:D,MATCH(A52,'Trade Log'!C:C,0)))</f>
        <v/>
      </c>
      <c r="C52">
        <f>IF(A52="","",INDEX('Trade Log'!E:E,MATCH(A52,'Trade Log'!C:C,0)))</f>
        <v/>
      </c>
      <c r="D52" s="3">
        <f>IF(A52="","",SUMIFS('Trade Log'!G:G,'Trade Log'!C:C,A52,'Trade Log'!F:F,"BUY")-SUMIFS('Trade Log'!G:G,'Trade Log'!C:C,A52,'Trade Log'!F:F,"SELL"))</f>
        <v/>
      </c>
      <c r="E52" s="3">
        <f>IF(D52&lt;=0,"",SUMIFS('Trade Log'!K:K,'Trade Log'!C:C,A52,'Trade Log'!F:F,"BUY")/SUMIFS('Trade Log'!G:G,'Trade Log'!C:C,A52,'Trade Log'!F:F,"BUY"))</f>
        <v/>
      </c>
      <c r="F52" s="3">
        <f>IF(D52&lt;=0,"",D52*E52)</f>
        <v/>
      </c>
      <c r="G52" s="3" t="n"/>
      <c r="H52" s="3">
        <f>IF(D52&lt;=0,"",D52*G52)</f>
        <v/>
      </c>
      <c r="I52" s="3">
        <f>IF(D52&lt;=0,"",H52-F52)</f>
        <v/>
      </c>
      <c r="J52" s="4">
        <f>IF(F52&lt;=0,"",I52/F52)</f>
        <v/>
      </c>
    </row>
    <row r="53">
      <c r="B53">
        <f>IF(A53="","",INDEX('Trade Log'!D:D,MATCH(A53,'Trade Log'!C:C,0)))</f>
        <v/>
      </c>
      <c r="C53">
        <f>IF(A53="","",INDEX('Trade Log'!E:E,MATCH(A53,'Trade Log'!C:C,0)))</f>
        <v/>
      </c>
      <c r="D53" s="3">
        <f>IF(A53="","",SUMIFS('Trade Log'!G:G,'Trade Log'!C:C,A53,'Trade Log'!F:F,"BUY")-SUMIFS('Trade Log'!G:G,'Trade Log'!C:C,A53,'Trade Log'!F:F,"SELL"))</f>
        <v/>
      </c>
      <c r="E53" s="3">
        <f>IF(D53&lt;=0,"",SUMIFS('Trade Log'!K:K,'Trade Log'!C:C,A53,'Trade Log'!F:F,"BUY")/SUMIFS('Trade Log'!G:G,'Trade Log'!C:C,A53,'Trade Log'!F:F,"BUY"))</f>
        <v/>
      </c>
      <c r="F53" s="3">
        <f>IF(D53&lt;=0,"",D53*E53)</f>
        <v/>
      </c>
      <c r="G53" s="3" t="n"/>
      <c r="H53" s="3">
        <f>IF(D53&lt;=0,"",D53*G53)</f>
        <v/>
      </c>
      <c r="I53" s="3">
        <f>IF(D53&lt;=0,"",H53-F53)</f>
        <v/>
      </c>
      <c r="J53" s="4">
        <f>IF(F53&lt;=0,"",I53/F53)</f>
        <v/>
      </c>
    </row>
    <row r="54">
      <c r="B54">
        <f>IF(A54="","",INDEX('Trade Log'!D:D,MATCH(A54,'Trade Log'!C:C,0)))</f>
        <v/>
      </c>
      <c r="C54">
        <f>IF(A54="","",INDEX('Trade Log'!E:E,MATCH(A54,'Trade Log'!C:C,0)))</f>
        <v/>
      </c>
      <c r="D54" s="3">
        <f>IF(A54="","",SUMIFS('Trade Log'!G:G,'Trade Log'!C:C,A54,'Trade Log'!F:F,"BUY")-SUMIFS('Trade Log'!G:G,'Trade Log'!C:C,A54,'Trade Log'!F:F,"SELL"))</f>
        <v/>
      </c>
      <c r="E54" s="3">
        <f>IF(D54&lt;=0,"",SUMIFS('Trade Log'!K:K,'Trade Log'!C:C,A54,'Trade Log'!F:F,"BUY")/SUMIFS('Trade Log'!G:G,'Trade Log'!C:C,A54,'Trade Log'!F:F,"BUY"))</f>
        <v/>
      </c>
      <c r="F54" s="3">
        <f>IF(D54&lt;=0,"",D54*E54)</f>
        <v/>
      </c>
      <c r="G54" s="3" t="n"/>
      <c r="H54" s="3">
        <f>IF(D54&lt;=0,"",D54*G54)</f>
        <v/>
      </c>
      <c r="I54" s="3">
        <f>IF(D54&lt;=0,"",H54-F54)</f>
        <v/>
      </c>
      <c r="J54" s="4">
        <f>IF(F54&lt;=0,"",I54/F54)</f>
        <v/>
      </c>
    </row>
    <row r="57">
      <c r="A57" t="inlineStr">
        <is>
          <t>Totals</t>
        </is>
      </c>
      <c r="F57" s="7">
        <f>SUM(F5:F54)</f>
        <v/>
      </c>
      <c r="H57" s="7">
        <f>SUM(H5:H54)</f>
        <v/>
      </c>
      <c r="I57" s="7">
        <f>SUM(I5:I54)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2" customWidth="1" min="5" max="5"/>
    <col width="8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0" customWidth="1" min="12" max="12"/>
    <col width="10" customWidth="1" min="13" max="13"/>
  </cols>
  <sheetData>
    <row r="1">
      <c r="A1" s="1" t="inlineStr">
        <is>
          <t>Round-trip trades (enter Position ID from Trade Log)</t>
        </is>
      </c>
    </row>
    <row r="3">
      <c r="A3" s="2" t="inlineStr">
        <is>
          <t>Position ID</t>
        </is>
      </c>
      <c r="B3" s="2" t="inlineStr">
        <is>
          <t>Symbol</t>
        </is>
      </c>
      <c r="C3" s="2" t="inlineStr">
        <is>
          <t>Segment</t>
        </is>
      </c>
      <c r="D3" s="2" t="inlineStr">
        <is>
          <t>Buy date</t>
        </is>
      </c>
      <c r="E3" s="2" t="inlineStr">
        <is>
          <t>Sell date</t>
        </is>
      </c>
      <c r="F3" s="2" t="inlineStr">
        <is>
          <t>Qty</t>
        </is>
      </c>
      <c r="G3" s="2" t="inlineStr">
        <is>
          <t>Buy avg (₹)</t>
        </is>
      </c>
      <c r="H3" s="2" t="inlineStr">
        <is>
          <t>Sell avg (₹)</t>
        </is>
      </c>
      <c r="I3" s="2" t="inlineStr">
        <is>
          <t>Gross P&amp;L (₹)</t>
        </is>
      </c>
      <c r="J3" s="2" t="inlineStr">
        <is>
          <t>Total charges (₹)</t>
        </is>
      </c>
      <c r="K3" s="2" t="inlineStr">
        <is>
          <t>Net P&amp;L (₹)</t>
        </is>
      </c>
      <c r="L3" s="2" t="inlineStr">
        <is>
          <t>Return %</t>
        </is>
      </c>
      <c r="M3" s="2" t="inlineStr">
        <is>
          <t>Hold days</t>
        </is>
      </c>
    </row>
    <row r="4">
      <c r="A4" t="inlineStr">
        <is>
          <t>T001</t>
        </is>
      </c>
      <c r="B4">
        <f>IF(A4="","",INDEX('Trade Log'!C:C,MATCH(A4,'Trade Log'!I:I,0)))</f>
        <v/>
      </c>
      <c r="C4">
        <f>IF(A4="","",INDEX('Trade Log'!E:E,MATCH(A4,'Trade Log'!I:I,0)))</f>
        <v/>
      </c>
      <c r="D4">
        <f>IF(A4="","",MINIFS('Trade Log'!B:B,'Trade Log'!I:I,A4,'Trade Log'!F:F,"BUY"))</f>
        <v/>
      </c>
      <c r="E4">
        <f>IF(A4="","",MAXIFS('Trade Log'!B:B,'Trade Log'!I:I,A4,'Trade Log'!F:F,"SELL"))</f>
        <v/>
      </c>
      <c r="F4" s="3">
        <f>IF(A4="","",MIN(SUMIFS('Trade Log'!G:G,'Trade Log'!I:I,A4,'Trade Log'!F:F,"BUY"),SUMIFS('Trade Log'!G:G,'Trade Log'!I:I,A4,'Trade Log'!F:F,"SELL")))</f>
        <v/>
      </c>
      <c r="G4" s="3">
        <f>IF(A4="","",SUMIFS('Trade Log'!K:K,'Trade Log'!I:I,A4,'Trade Log'!F:F,"BUY")/SUMIFS('Trade Log'!G:G,'Trade Log'!I:I,A4,'Trade Log'!F:F,"BUY"))</f>
        <v/>
      </c>
      <c r="H4" s="3">
        <f>IF(A4="","",SUMIFS('Trade Log'!K:K,'Trade Log'!I:I,A4,'Trade Log'!F:F,"SELL")/SUMIFS('Trade Log'!G:G,'Trade Log'!I:I,A4,'Trade Log'!F:F,"SELL"))</f>
        <v/>
      </c>
      <c r="I4" s="3">
        <f>IF(A4="","",(H4-G4)*F4)</f>
        <v/>
      </c>
      <c r="J4" s="3">
        <f>IF(A4="","",SUMIFS('Trade Log'!R:R,'Trade Log'!I:I,A4))</f>
        <v/>
      </c>
      <c r="K4" s="3">
        <f>IF(A4="","",I4-J4)</f>
        <v/>
      </c>
      <c r="L4" s="4">
        <f>IF(A4="","",IF(G4*F4=0,"",K4/(G4*F4)))</f>
        <v/>
      </c>
      <c r="M4">
        <f>IF(A4="","",E4-D4)</f>
        <v/>
      </c>
    </row>
    <row r="5">
      <c r="A5" t="inlineStr">
        <is>
          <t>T002</t>
        </is>
      </c>
      <c r="B5">
        <f>IF(A5="","",INDEX('Trade Log'!C:C,MATCH(A5,'Trade Log'!I:I,0)))</f>
        <v/>
      </c>
      <c r="C5">
        <f>IF(A5="","",INDEX('Trade Log'!E:E,MATCH(A5,'Trade Log'!I:I,0)))</f>
        <v/>
      </c>
      <c r="D5">
        <f>IF(A5="","",MINIFS('Trade Log'!B:B,'Trade Log'!I:I,A5,'Trade Log'!F:F,"BUY"))</f>
        <v/>
      </c>
      <c r="E5">
        <f>IF(A5="","",MAXIFS('Trade Log'!B:B,'Trade Log'!I:I,A5,'Trade Log'!F:F,"SELL"))</f>
        <v/>
      </c>
      <c r="F5" s="3">
        <f>IF(A5="","",MIN(SUMIFS('Trade Log'!G:G,'Trade Log'!I:I,A5,'Trade Log'!F:F,"BUY"),SUMIFS('Trade Log'!G:G,'Trade Log'!I:I,A5,'Trade Log'!F:F,"SELL")))</f>
        <v/>
      </c>
      <c r="G5" s="3">
        <f>IF(A5="","",SUMIFS('Trade Log'!K:K,'Trade Log'!I:I,A5,'Trade Log'!F:F,"BUY")/SUMIFS('Trade Log'!G:G,'Trade Log'!I:I,A5,'Trade Log'!F:F,"BUY"))</f>
        <v/>
      </c>
      <c r="H5" s="3">
        <f>IF(A5="","",SUMIFS('Trade Log'!K:K,'Trade Log'!I:I,A5,'Trade Log'!F:F,"SELL")/SUMIFS('Trade Log'!G:G,'Trade Log'!I:I,A5,'Trade Log'!F:F,"SELL"))</f>
        <v/>
      </c>
      <c r="I5" s="3">
        <f>IF(A5="","",(H5-G5)*F5)</f>
        <v/>
      </c>
      <c r="J5" s="3">
        <f>IF(A5="","",SUMIFS('Trade Log'!R:R,'Trade Log'!I:I,A5))</f>
        <v/>
      </c>
      <c r="K5" s="3">
        <f>IF(A5="","",I5-J5)</f>
        <v/>
      </c>
      <c r="L5" s="4">
        <f>IF(A5="","",IF(G5*F5=0,"",K5/(G5*F5)))</f>
        <v/>
      </c>
      <c r="M5">
        <f>IF(A5="","",E5-D5)</f>
        <v/>
      </c>
    </row>
    <row r="6">
      <c r="B6">
        <f>IF(A6="","",INDEX('Trade Log'!C:C,MATCH(A6,'Trade Log'!I:I,0)))</f>
        <v/>
      </c>
      <c r="C6">
        <f>IF(A6="","",INDEX('Trade Log'!E:E,MATCH(A6,'Trade Log'!I:I,0)))</f>
        <v/>
      </c>
      <c r="D6">
        <f>IF(A6="","",MINIFS('Trade Log'!B:B,'Trade Log'!I:I,A6,'Trade Log'!F:F,"BUY"))</f>
        <v/>
      </c>
      <c r="E6">
        <f>IF(A6="","",MAXIFS('Trade Log'!B:B,'Trade Log'!I:I,A6,'Trade Log'!F:F,"SELL"))</f>
        <v/>
      </c>
      <c r="F6" s="3">
        <f>IF(A6="","",MIN(SUMIFS('Trade Log'!G:G,'Trade Log'!I:I,A6,'Trade Log'!F:F,"BUY"),SUMIFS('Trade Log'!G:G,'Trade Log'!I:I,A6,'Trade Log'!F:F,"SELL")))</f>
        <v/>
      </c>
      <c r="G6" s="3">
        <f>IF(A6="","",SUMIFS('Trade Log'!K:K,'Trade Log'!I:I,A6,'Trade Log'!F:F,"BUY")/SUMIFS('Trade Log'!G:G,'Trade Log'!I:I,A6,'Trade Log'!F:F,"BUY"))</f>
        <v/>
      </c>
      <c r="H6" s="3">
        <f>IF(A6="","",SUMIFS('Trade Log'!K:K,'Trade Log'!I:I,A6,'Trade Log'!F:F,"SELL")/SUMIFS('Trade Log'!G:G,'Trade Log'!I:I,A6,'Trade Log'!F:F,"SELL"))</f>
        <v/>
      </c>
      <c r="I6" s="3">
        <f>IF(A6="","",(H6-G6)*F6)</f>
        <v/>
      </c>
      <c r="J6" s="3">
        <f>IF(A6="","",SUMIFS('Trade Log'!R:R,'Trade Log'!I:I,A6))</f>
        <v/>
      </c>
      <c r="K6" s="3">
        <f>IF(A6="","",I6-J6)</f>
        <v/>
      </c>
      <c r="L6" s="4">
        <f>IF(A6="","",IF(G6*F6=0,"",K6/(G6*F6)))</f>
        <v/>
      </c>
      <c r="M6">
        <f>IF(A6="","",E6-D6)</f>
        <v/>
      </c>
    </row>
    <row r="7">
      <c r="B7">
        <f>IF(A7="","",INDEX('Trade Log'!C:C,MATCH(A7,'Trade Log'!I:I,0)))</f>
        <v/>
      </c>
      <c r="C7">
        <f>IF(A7="","",INDEX('Trade Log'!E:E,MATCH(A7,'Trade Log'!I:I,0)))</f>
        <v/>
      </c>
      <c r="D7">
        <f>IF(A7="","",MINIFS('Trade Log'!B:B,'Trade Log'!I:I,A7,'Trade Log'!F:F,"BUY"))</f>
        <v/>
      </c>
      <c r="E7">
        <f>IF(A7="","",MAXIFS('Trade Log'!B:B,'Trade Log'!I:I,A7,'Trade Log'!F:F,"SELL"))</f>
        <v/>
      </c>
      <c r="F7" s="3">
        <f>IF(A7="","",MIN(SUMIFS('Trade Log'!G:G,'Trade Log'!I:I,A7,'Trade Log'!F:F,"BUY"),SUMIFS('Trade Log'!G:G,'Trade Log'!I:I,A7,'Trade Log'!F:F,"SELL")))</f>
        <v/>
      </c>
      <c r="G7" s="3">
        <f>IF(A7="","",SUMIFS('Trade Log'!K:K,'Trade Log'!I:I,A7,'Trade Log'!F:F,"BUY")/SUMIFS('Trade Log'!G:G,'Trade Log'!I:I,A7,'Trade Log'!F:F,"BUY"))</f>
        <v/>
      </c>
      <c r="H7" s="3">
        <f>IF(A7="","",SUMIFS('Trade Log'!K:K,'Trade Log'!I:I,A7,'Trade Log'!F:F,"SELL")/SUMIFS('Trade Log'!G:G,'Trade Log'!I:I,A7,'Trade Log'!F:F,"SELL"))</f>
        <v/>
      </c>
      <c r="I7" s="3">
        <f>IF(A7="","",(H7-G7)*F7)</f>
        <v/>
      </c>
      <c r="J7" s="3">
        <f>IF(A7="","",SUMIFS('Trade Log'!R:R,'Trade Log'!I:I,A7))</f>
        <v/>
      </c>
      <c r="K7" s="3">
        <f>IF(A7="","",I7-J7)</f>
        <v/>
      </c>
      <c r="L7" s="4">
        <f>IF(A7="","",IF(G7*F7=0,"",K7/(G7*F7)))</f>
        <v/>
      </c>
      <c r="M7">
        <f>IF(A7="","",E7-D7)</f>
        <v/>
      </c>
    </row>
    <row r="8">
      <c r="B8">
        <f>IF(A8="","",INDEX('Trade Log'!C:C,MATCH(A8,'Trade Log'!I:I,0)))</f>
        <v/>
      </c>
      <c r="C8">
        <f>IF(A8="","",INDEX('Trade Log'!E:E,MATCH(A8,'Trade Log'!I:I,0)))</f>
        <v/>
      </c>
      <c r="D8">
        <f>IF(A8="","",MINIFS('Trade Log'!B:B,'Trade Log'!I:I,A8,'Trade Log'!F:F,"BUY"))</f>
        <v/>
      </c>
      <c r="E8">
        <f>IF(A8="","",MAXIFS('Trade Log'!B:B,'Trade Log'!I:I,A8,'Trade Log'!F:F,"SELL"))</f>
        <v/>
      </c>
      <c r="F8" s="3">
        <f>IF(A8="","",MIN(SUMIFS('Trade Log'!G:G,'Trade Log'!I:I,A8,'Trade Log'!F:F,"BUY"),SUMIFS('Trade Log'!G:G,'Trade Log'!I:I,A8,'Trade Log'!F:F,"SELL")))</f>
        <v/>
      </c>
      <c r="G8" s="3">
        <f>IF(A8="","",SUMIFS('Trade Log'!K:K,'Trade Log'!I:I,A8,'Trade Log'!F:F,"BUY")/SUMIFS('Trade Log'!G:G,'Trade Log'!I:I,A8,'Trade Log'!F:F,"BUY"))</f>
        <v/>
      </c>
      <c r="H8" s="3">
        <f>IF(A8="","",SUMIFS('Trade Log'!K:K,'Trade Log'!I:I,A8,'Trade Log'!F:F,"SELL")/SUMIFS('Trade Log'!G:G,'Trade Log'!I:I,A8,'Trade Log'!F:F,"SELL"))</f>
        <v/>
      </c>
      <c r="I8" s="3">
        <f>IF(A8="","",(H8-G8)*F8)</f>
        <v/>
      </c>
      <c r="J8" s="3">
        <f>IF(A8="","",SUMIFS('Trade Log'!R:R,'Trade Log'!I:I,A8))</f>
        <v/>
      </c>
      <c r="K8" s="3">
        <f>IF(A8="","",I8-J8)</f>
        <v/>
      </c>
      <c r="L8" s="4">
        <f>IF(A8="","",IF(G8*F8=0,"",K8/(G8*F8)))</f>
        <v/>
      </c>
      <c r="M8">
        <f>IF(A8="","",E8-D8)</f>
        <v/>
      </c>
    </row>
    <row r="9">
      <c r="B9">
        <f>IF(A9="","",INDEX('Trade Log'!C:C,MATCH(A9,'Trade Log'!I:I,0)))</f>
        <v/>
      </c>
      <c r="C9">
        <f>IF(A9="","",INDEX('Trade Log'!E:E,MATCH(A9,'Trade Log'!I:I,0)))</f>
        <v/>
      </c>
      <c r="D9">
        <f>IF(A9="","",MINIFS('Trade Log'!B:B,'Trade Log'!I:I,A9,'Trade Log'!F:F,"BUY"))</f>
        <v/>
      </c>
      <c r="E9">
        <f>IF(A9="","",MAXIFS('Trade Log'!B:B,'Trade Log'!I:I,A9,'Trade Log'!F:F,"SELL"))</f>
        <v/>
      </c>
      <c r="F9" s="3">
        <f>IF(A9="","",MIN(SUMIFS('Trade Log'!G:G,'Trade Log'!I:I,A9,'Trade Log'!F:F,"BUY"),SUMIFS('Trade Log'!G:G,'Trade Log'!I:I,A9,'Trade Log'!F:F,"SELL")))</f>
        <v/>
      </c>
      <c r="G9" s="3">
        <f>IF(A9="","",SUMIFS('Trade Log'!K:K,'Trade Log'!I:I,A9,'Trade Log'!F:F,"BUY")/SUMIFS('Trade Log'!G:G,'Trade Log'!I:I,A9,'Trade Log'!F:F,"BUY"))</f>
        <v/>
      </c>
      <c r="H9" s="3">
        <f>IF(A9="","",SUMIFS('Trade Log'!K:K,'Trade Log'!I:I,A9,'Trade Log'!F:F,"SELL")/SUMIFS('Trade Log'!G:G,'Trade Log'!I:I,A9,'Trade Log'!F:F,"SELL"))</f>
        <v/>
      </c>
      <c r="I9" s="3">
        <f>IF(A9="","",(H9-G9)*F9)</f>
        <v/>
      </c>
      <c r="J9" s="3">
        <f>IF(A9="","",SUMIFS('Trade Log'!R:R,'Trade Log'!I:I,A9))</f>
        <v/>
      </c>
      <c r="K9" s="3">
        <f>IF(A9="","",I9-J9)</f>
        <v/>
      </c>
      <c r="L9" s="4">
        <f>IF(A9="","",IF(G9*F9=0,"",K9/(G9*F9)))</f>
        <v/>
      </c>
      <c r="M9">
        <f>IF(A9="","",E9-D9)</f>
        <v/>
      </c>
    </row>
    <row r="10">
      <c r="B10">
        <f>IF(A10="","",INDEX('Trade Log'!C:C,MATCH(A10,'Trade Log'!I:I,0)))</f>
        <v/>
      </c>
      <c r="C10">
        <f>IF(A10="","",INDEX('Trade Log'!E:E,MATCH(A10,'Trade Log'!I:I,0)))</f>
        <v/>
      </c>
      <c r="D10">
        <f>IF(A10="","",MINIFS('Trade Log'!B:B,'Trade Log'!I:I,A10,'Trade Log'!F:F,"BUY"))</f>
        <v/>
      </c>
      <c r="E10">
        <f>IF(A10="","",MAXIFS('Trade Log'!B:B,'Trade Log'!I:I,A10,'Trade Log'!F:F,"SELL"))</f>
        <v/>
      </c>
      <c r="F10" s="3">
        <f>IF(A10="","",MIN(SUMIFS('Trade Log'!G:G,'Trade Log'!I:I,A10,'Trade Log'!F:F,"BUY"),SUMIFS('Trade Log'!G:G,'Trade Log'!I:I,A10,'Trade Log'!F:F,"SELL")))</f>
        <v/>
      </c>
      <c r="G10" s="3">
        <f>IF(A10="","",SUMIFS('Trade Log'!K:K,'Trade Log'!I:I,A10,'Trade Log'!F:F,"BUY")/SUMIFS('Trade Log'!G:G,'Trade Log'!I:I,A10,'Trade Log'!F:F,"BUY"))</f>
        <v/>
      </c>
      <c r="H10" s="3">
        <f>IF(A10="","",SUMIFS('Trade Log'!K:K,'Trade Log'!I:I,A10,'Trade Log'!F:F,"SELL")/SUMIFS('Trade Log'!G:G,'Trade Log'!I:I,A10,'Trade Log'!F:F,"SELL"))</f>
        <v/>
      </c>
      <c r="I10" s="3">
        <f>IF(A10="","",(H10-G10)*F10)</f>
        <v/>
      </c>
      <c r="J10" s="3">
        <f>IF(A10="","",SUMIFS('Trade Log'!R:R,'Trade Log'!I:I,A10))</f>
        <v/>
      </c>
      <c r="K10" s="3">
        <f>IF(A10="","",I10-J10)</f>
        <v/>
      </c>
      <c r="L10" s="4">
        <f>IF(A10="","",IF(G10*F10=0,"",K10/(G10*F10)))</f>
        <v/>
      </c>
      <c r="M10">
        <f>IF(A10="","",E10-D10)</f>
        <v/>
      </c>
    </row>
    <row r="11">
      <c r="B11">
        <f>IF(A11="","",INDEX('Trade Log'!C:C,MATCH(A11,'Trade Log'!I:I,0)))</f>
        <v/>
      </c>
      <c r="C11">
        <f>IF(A11="","",INDEX('Trade Log'!E:E,MATCH(A11,'Trade Log'!I:I,0)))</f>
        <v/>
      </c>
      <c r="D11">
        <f>IF(A11="","",MINIFS('Trade Log'!B:B,'Trade Log'!I:I,A11,'Trade Log'!F:F,"BUY"))</f>
        <v/>
      </c>
      <c r="E11">
        <f>IF(A11="","",MAXIFS('Trade Log'!B:B,'Trade Log'!I:I,A11,'Trade Log'!F:F,"SELL"))</f>
        <v/>
      </c>
      <c r="F11" s="3">
        <f>IF(A11="","",MIN(SUMIFS('Trade Log'!G:G,'Trade Log'!I:I,A11,'Trade Log'!F:F,"BUY"),SUMIFS('Trade Log'!G:G,'Trade Log'!I:I,A11,'Trade Log'!F:F,"SELL")))</f>
        <v/>
      </c>
      <c r="G11" s="3">
        <f>IF(A11="","",SUMIFS('Trade Log'!K:K,'Trade Log'!I:I,A11,'Trade Log'!F:F,"BUY")/SUMIFS('Trade Log'!G:G,'Trade Log'!I:I,A11,'Trade Log'!F:F,"BUY"))</f>
        <v/>
      </c>
      <c r="H11" s="3">
        <f>IF(A11="","",SUMIFS('Trade Log'!K:K,'Trade Log'!I:I,A11,'Trade Log'!F:F,"SELL")/SUMIFS('Trade Log'!G:G,'Trade Log'!I:I,A11,'Trade Log'!F:F,"SELL"))</f>
        <v/>
      </c>
      <c r="I11" s="3">
        <f>IF(A11="","",(H11-G11)*F11)</f>
        <v/>
      </c>
      <c r="J11" s="3">
        <f>IF(A11="","",SUMIFS('Trade Log'!R:R,'Trade Log'!I:I,A11))</f>
        <v/>
      </c>
      <c r="K11" s="3">
        <f>IF(A11="","",I11-J11)</f>
        <v/>
      </c>
      <c r="L11" s="4">
        <f>IF(A11="","",IF(G11*F11=0,"",K11/(G11*F11)))</f>
        <v/>
      </c>
      <c r="M11">
        <f>IF(A11="","",E11-D11)</f>
        <v/>
      </c>
    </row>
    <row r="12">
      <c r="B12">
        <f>IF(A12="","",INDEX('Trade Log'!C:C,MATCH(A12,'Trade Log'!I:I,0)))</f>
        <v/>
      </c>
      <c r="C12">
        <f>IF(A12="","",INDEX('Trade Log'!E:E,MATCH(A12,'Trade Log'!I:I,0)))</f>
        <v/>
      </c>
      <c r="D12">
        <f>IF(A12="","",MINIFS('Trade Log'!B:B,'Trade Log'!I:I,A12,'Trade Log'!F:F,"BUY"))</f>
        <v/>
      </c>
      <c r="E12">
        <f>IF(A12="","",MAXIFS('Trade Log'!B:B,'Trade Log'!I:I,A12,'Trade Log'!F:F,"SELL"))</f>
        <v/>
      </c>
      <c r="F12" s="3">
        <f>IF(A12="","",MIN(SUMIFS('Trade Log'!G:G,'Trade Log'!I:I,A12,'Trade Log'!F:F,"BUY"),SUMIFS('Trade Log'!G:G,'Trade Log'!I:I,A12,'Trade Log'!F:F,"SELL")))</f>
        <v/>
      </c>
      <c r="G12" s="3">
        <f>IF(A12="","",SUMIFS('Trade Log'!K:K,'Trade Log'!I:I,A12,'Trade Log'!F:F,"BUY")/SUMIFS('Trade Log'!G:G,'Trade Log'!I:I,A12,'Trade Log'!F:F,"BUY"))</f>
        <v/>
      </c>
      <c r="H12" s="3">
        <f>IF(A12="","",SUMIFS('Trade Log'!K:K,'Trade Log'!I:I,A12,'Trade Log'!F:F,"SELL")/SUMIFS('Trade Log'!G:G,'Trade Log'!I:I,A12,'Trade Log'!F:F,"SELL"))</f>
        <v/>
      </c>
      <c r="I12" s="3">
        <f>IF(A12="","",(H12-G12)*F12)</f>
        <v/>
      </c>
      <c r="J12" s="3">
        <f>IF(A12="","",SUMIFS('Trade Log'!R:R,'Trade Log'!I:I,A12))</f>
        <v/>
      </c>
      <c r="K12" s="3">
        <f>IF(A12="","",I12-J12)</f>
        <v/>
      </c>
      <c r="L12" s="4">
        <f>IF(A12="","",IF(G12*F12=0,"",K12/(G12*F12)))</f>
        <v/>
      </c>
      <c r="M12">
        <f>IF(A12="","",E12-D12)</f>
        <v/>
      </c>
    </row>
    <row r="13">
      <c r="B13">
        <f>IF(A13="","",INDEX('Trade Log'!C:C,MATCH(A13,'Trade Log'!I:I,0)))</f>
        <v/>
      </c>
      <c r="C13">
        <f>IF(A13="","",INDEX('Trade Log'!E:E,MATCH(A13,'Trade Log'!I:I,0)))</f>
        <v/>
      </c>
      <c r="D13">
        <f>IF(A13="","",MINIFS('Trade Log'!B:B,'Trade Log'!I:I,A13,'Trade Log'!F:F,"BUY"))</f>
        <v/>
      </c>
      <c r="E13">
        <f>IF(A13="","",MAXIFS('Trade Log'!B:B,'Trade Log'!I:I,A13,'Trade Log'!F:F,"SELL"))</f>
        <v/>
      </c>
      <c r="F13" s="3">
        <f>IF(A13="","",MIN(SUMIFS('Trade Log'!G:G,'Trade Log'!I:I,A13,'Trade Log'!F:F,"BUY"),SUMIFS('Trade Log'!G:G,'Trade Log'!I:I,A13,'Trade Log'!F:F,"SELL")))</f>
        <v/>
      </c>
      <c r="G13" s="3">
        <f>IF(A13="","",SUMIFS('Trade Log'!K:K,'Trade Log'!I:I,A13,'Trade Log'!F:F,"BUY")/SUMIFS('Trade Log'!G:G,'Trade Log'!I:I,A13,'Trade Log'!F:F,"BUY"))</f>
        <v/>
      </c>
      <c r="H13" s="3">
        <f>IF(A13="","",SUMIFS('Trade Log'!K:K,'Trade Log'!I:I,A13,'Trade Log'!F:F,"SELL")/SUMIFS('Trade Log'!G:G,'Trade Log'!I:I,A13,'Trade Log'!F:F,"SELL"))</f>
        <v/>
      </c>
      <c r="I13" s="3">
        <f>IF(A13="","",(H13-G13)*F13)</f>
        <v/>
      </c>
      <c r="J13" s="3">
        <f>IF(A13="","",SUMIFS('Trade Log'!R:R,'Trade Log'!I:I,A13))</f>
        <v/>
      </c>
      <c r="K13" s="3">
        <f>IF(A13="","",I13-J13)</f>
        <v/>
      </c>
      <c r="L13" s="4">
        <f>IF(A13="","",IF(G13*F13=0,"",K13/(G13*F13)))</f>
        <v/>
      </c>
      <c r="M13">
        <f>IF(A13="","",E13-D13)</f>
        <v/>
      </c>
    </row>
    <row r="14">
      <c r="B14">
        <f>IF(A14="","",INDEX('Trade Log'!C:C,MATCH(A14,'Trade Log'!I:I,0)))</f>
        <v/>
      </c>
      <c r="C14">
        <f>IF(A14="","",INDEX('Trade Log'!E:E,MATCH(A14,'Trade Log'!I:I,0)))</f>
        <v/>
      </c>
      <c r="D14">
        <f>IF(A14="","",MINIFS('Trade Log'!B:B,'Trade Log'!I:I,A14,'Trade Log'!F:F,"BUY"))</f>
        <v/>
      </c>
      <c r="E14">
        <f>IF(A14="","",MAXIFS('Trade Log'!B:B,'Trade Log'!I:I,A14,'Trade Log'!F:F,"SELL"))</f>
        <v/>
      </c>
      <c r="F14" s="3">
        <f>IF(A14="","",MIN(SUMIFS('Trade Log'!G:G,'Trade Log'!I:I,A14,'Trade Log'!F:F,"BUY"),SUMIFS('Trade Log'!G:G,'Trade Log'!I:I,A14,'Trade Log'!F:F,"SELL")))</f>
        <v/>
      </c>
      <c r="G14" s="3">
        <f>IF(A14="","",SUMIFS('Trade Log'!K:K,'Trade Log'!I:I,A14,'Trade Log'!F:F,"BUY")/SUMIFS('Trade Log'!G:G,'Trade Log'!I:I,A14,'Trade Log'!F:F,"BUY"))</f>
        <v/>
      </c>
      <c r="H14" s="3">
        <f>IF(A14="","",SUMIFS('Trade Log'!K:K,'Trade Log'!I:I,A14,'Trade Log'!F:F,"SELL")/SUMIFS('Trade Log'!G:G,'Trade Log'!I:I,A14,'Trade Log'!F:F,"SELL"))</f>
        <v/>
      </c>
      <c r="I14" s="3">
        <f>IF(A14="","",(H14-G14)*F14)</f>
        <v/>
      </c>
      <c r="J14" s="3">
        <f>IF(A14="","",SUMIFS('Trade Log'!R:R,'Trade Log'!I:I,A14))</f>
        <v/>
      </c>
      <c r="K14" s="3">
        <f>IF(A14="","",I14-J14)</f>
        <v/>
      </c>
      <c r="L14" s="4">
        <f>IF(A14="","",IF(G14*F14=0,"",K14/(G14*F14)))</f>
        <v/>
      </c>
      <c r="M14">
        <f>IF(A14="","",E14-D14)</f>
        <v/>
      </c>
    </row>
    <row r="15">
      <c r="B15">
        <f>IF(A15="","",INDEX('Trade Log'!C:C,MATCH(A15,'Trade Log'!I:I,0)))</f>
        <v/>
      </c>
      <c r="C15">
        <f>IF(A15="","",INDEX('Trade Log'!E:E,MATCH(A15,'Trade Log'!I:I,0)))</f>
        <v/>
      </c>
      <c r="D15">
        <f>IF(A15="","",MINIFS('Trade Log'!B:B,'Trade Log'!I:I,A15,'Trade Log'!F:F,"BUY"))</f>
        <v/>
      </c>
      <c r="E15">
        <f>IF(A15="","",MAXIFS('Trade Log'!B:B,'Trade Log'!I:I,A15,'Trade Log'!F:F,"SELL"))</f>
        <v/>
      </c>
      <c r="F15" s="3">
        <f>IF(A15="","",MIN(SUMIFS('Trade Log'!G:G,'Trade Log'!I:I,A15,'Trade Log'!F:F,"BUY"),SUMIFS('Trade Log'!G:G,'Trade Log'!I:I,A15,'Trade Log'!F:F,"SELL")))</f>
        <v/>
      </c>
      <c r="G15" s="3">
        <f>IF(A15="","",SUMIFS('Trade Log'!K:K,'Trade Log'!I:I,A15,'Trade Log'!F:F,"BUY")/SUMIFS('Trade Log'!G:G,'Trade Log'!I:I,A15,'Trade Log'!F:F,"BUY"))</f>
        <v/>
      </c>
      <c r="H15" s="3">
        <f>IF(A15="","",SUMIFS('Trade Log'!K:K,'Trade Log'!I:I,A15,'Trade Log'!F:F,"SELL")/SUMIFS('Trade Log'!G:G,'Trade Log'!I:I,A15,'Trade Log'!F:F,"SELL"))</f>
        <v/>
      </c>
      <c r="I15" s="3">
        <f>IF(A15="","",(H15-G15)*F15)</f>
        <v/>
      </c>
      <c r="J15" s="3">
        <f>IF(A15="","",SUMIFS('Trade Log'!R:R,'Trade Log'!I:I,A15))</f>
        <v/>
      </c>
      <c r="K15" s="3">
        <f>IF(A15="","",I15-J15)</f>
        <v/>
      </c>
      <c r="L15" s="4">
        <f>IF(A15="","",IF(G15*F15=0,"",K15/(G15*F15)))</f>
        <v/>
      </c>
      <c r="M15">
        <f>IF(A15="","",E15-D15)</f>
        <v/>
      </c>
    </row>
    <row r="16">
      <c r="B16">
        <f>IF(A16="","",INDEX('Trade Log'!C:C,MATCH(A16,'Trade Log'!I:I,0)))</f>
        <v/>
      </c>
      <c r="C16">
        <f>IF(A16="","",INDEX('Trade Log'!E:E,MATCH(A16,'Trade Log'!I:I,0)))</f>
        <v/>
      </c>
      <c r="D16">
        <f>IF(A16="","",MINIFS('Trade Log'!B:B,'Trade Log'!I:I,A16,'Trade Log'!F:F,"BUY"))</f>
        <v/>
      </c>
      <c r="E16">
        <f>IF(A16="","",MAXIFS('Trade Log'!B:B,'Trade Log'!I:I,A16,'Trade Log'!F:F,"SELL"))</f>
        <v/>
      </c>
      <c r="F16" s="3">
        <f>IF(A16="","",MIN(SUMIFS('Trade Log'!G:G,'Trade Log'!I:I,A16,'Trade Log'!F:F,"BUY"),SUMIFS('Trade Log'!G:G,'Trade Log'!I:I,A16,'Trade Log'!F:F,"SELL")))</f>
        <v/>
      </c>
      <c r="G16" s="3">
        <f>IF(A16="","",SUMIFS('Trade Log'!K:K,'Trade Log'!I:I,A16,'Trade Log'!F:F,"BUY")/SUMIFS('Trade Log'!G:G,'Trade Log'!I:I,A16,'Trade Log'!F:F,"BUY"))</f>
        <v/>
      </c>
      <c r="H16" s="3">
        <f>IF(A16="","",SUMIFS('Trade Log'!K:K,'Trade Log'!I:I,A16,'Trade Log'!F:F,"SELL")/SUMIFS('Trade Log'!G:G,'Trade Log'!I:I,A16,'Trade Log'!F:F,"SELL"))</f>
        <v/>
      </c>
      <c r="I16" s="3">
        <f>IF(A16="","",(H16-G16)*F16)</f>
        <v/>
      </c>
      <c r="J16" s="3">
        <f>IF(A16="","",SUMIFS('Trade Log'!R:R,'Trade Log'!I:I,A16))</f>
        <v/>
      </c>
      <c r="K16" s="3">
        <f>IF(A16="","",I16-J16)</f>
        <v/>
      </c>
      <c r="L16" s="4">
        <f>IF(A16="","",IF(G16*F16=0,"",K16/(G16*F16)))</f>
        <v/>
      </c>
      <c r="M16">
        <f>IF(A16="","",E16-D16)</f>
        <v/>
      </c>
    </row>
    <row r="17">
      <c r="B17">
        <f>IF(A17="","",INDEX('Trade Log'!C:C,MATCH(A17,'Trade Log'!I:I,0)))</f>
        <v/>
      </c>
      <c r="C17">
        <f>IF(A17="","",INDEX('Trade Log'!E:E,MATCH(A17,'Trade Log'!I:I,0)))</f>
        <v/>
      </c>
      <c r="D17">
        <f>IF(A17="","",MINIFS('Trade Log'!B:B,'Trade Log'!I:I,A17,'Trade Log'!F:F,"BUY"))</f>
        <v/>
      </c>
      <c r="E17">
        <f>IF(A17="","",MAXIFS('Trade Log'!B:B,'Trade Log'!I:I,A17,'Trade Log'!F:F,"SELL"))</f>
        <v/>
      </c>
      <c r="F17" s="3">
        <f>IF(A17="","",MIN(SUMIFS('Trade Log'!G:G,'Trade Log'!I:I,A17,'Trade Log'!F:F,"BUY"),SUMIFS('Trade Log'!G:G,'Trade Log'!I:I,A17,'Trade Log'!F:F,"SELL")))</f>
        <v/>
      </c>
      <c r="G17" s="3">
        <f>IF(A17="","",SUMIFS('Trade Log'!K:K,'Trade Log'!I:I,A17,'Trade Log'!F:F,"BUY")/SUMIFS('Trade Log'!G:G,'Trade Log'!I:I,A17,'Trade Log'!F:F,"BUY"))</f>
        <v/>
      </c>
      <c r="H17" s="3">
        <f>IF(A17="","",SUMIFS('Trade Log'!K:K,'Trade Log'!I:I,A17,'Trade Log'!F:F,"SELL")/SUMIFS('Trade Log'!G:G,'Trade Log'!I:I,A17,'Trade Log'!F:F,"SELL"))</f>
        <v/>
      </c>
      <c r="I17" s="3">
        <f>IF(A17="","",(H17-G17)*F17)</f>
        <v/>
      </c>
      <c r="J17" s="3">
        <f>IF(A17="","",SUMIFS('Trade Log'!R:R,'Trade Log'!I:I,A17))</f>
        <v/>
      </c>
      <c r="K17" s="3">
        <f>IF(A17="","",I17-J17)</f>
        <v/>
      </c>
      <c r="L17" s="4">
        <f>IF(A17="","",IF(G17*F17=0,"",K17/(G17*F17)))</f>
        <v/>
      </c>
      <c r="M17">
        <f>IF(A17="","",E17-D17)</f>
        <v/>
      </c>
    </row>
    <row r="18">
      <c r="B18">
        <f>IF(A18="","",INDEX('Trade Log'!C:C,MATCH(A18,'Trade Log'!I:I,0)))</f>
        <v/>
      </c>
      <c r="C18">
        <f>IF(A18="","",INDEX('Trade Log'!E:E,MATCH(A18,'Trade Log'!I:I,0)))</f>
        <v/>
      </c>
      <c r="D18">
        <f>IF(A18="","",MINIFS('Trade Log'!B:B,'Trade Log'!I:I,A18,'Trade Log'!F:F,"BUY"))</f>
        <v/>
      </c>
      <c r="E18">
        <f>IF(A18="","",MAXIFS('Trade Log'!B:B,'Trade Log'!I:I,A18,'Trade Log'!F:F,"SELL"))</f>
        <v/>
      </c>
      <c r="F18" s="3">
        <f>IF(A18="","",MIN(SUMIFS('Trade Log'!G:G,'Trade Log'!I:I,A18,'Trade Log'!F:F,"BUY"),SUMIFS('Trade Log'!G:G,'Trade Log'!I:I,A18,'Trade Log'!F:F,"SELL")))</f>
        <v/>
      </c>
      <c r="G18" s="3">
        <f>IF(A18="","",SUMIFS('Trade Log'!K:K,'Trade Log'!I:I,A18,'Trade Log'!F:F,"BUY")/SUMIFS('Trade Log'!G:G,'Trade Log'!I:I,A18,'Trade Log'!F:F,"BUY"))</f>
        <v/>
      </c>
      <c r="H18" s="3">
        <f>IF(A18="","",SUMIFS('Trade Log'!K:K,'Trade Log'!I:I,A18,'Trade Log'!F:F,"SELL")/SUMIFS('Trade Log'!G:G,'Trade Log'!I:I,A18,'Trade Log'!F:F,"SELL"))</f>
        <v/>
      </c>
      <c r="I18" s="3">
        <f>IF(A18="","",(H18-G18)*F18)</f>
        <v/>
      </c>
      <c r="J18" s="3">
        <f>IF(A18="","",SUMIFS('Trade Log'!R:R,'Trade Log'!I:I,A18))</f>
        <v/>
      </c>
      <c r="K18" s="3">
        <f>IF(A18="","",I18-J18)</f>
        <v/>
      </c>
      <c r="L18" s="4">
        <f>IF(A18="","",IF(G18*F18=0,"",K18/(G18*F18)))</f>
        <v/>
      </c>
      <c r="M18">
        <f>IF(A18="","",E18-D18)</f>
        <v/>
      </c>
    </row>
    <row r="19">
      <c r="B19">
        <f>IF(A19="","",INDEX('Trade Log'!C:C,MATCH(A19,'Trade Log'!I:I,0)))</f>
        <v/>
      </c>
      <c r="C19">
        <f>IF(A19="","",INDEX('Trade Log'!E:E,MATCH(A19,'Trade Log'!I:I,0)))</f>
        <v/>
      </c>
      <c r="D19">
        <f>IF(A19="","",MINIFS('Trade Log'!B:B,'Trade Log'!I:I,A19,'Trade Log'!F:F,"BUY"))</f>
        <v/>
      </c>
      <c r="E19">
        <f>IF(A19="","",MAXIFS('Trade Log'!B:B,'Trade Log'!I:I,A19,'Trade Log'!F:F,"SELL"))</f>
        <v/>
      </c>
      <c r="F19" s="3">
        <f>IF(A19="","",MIN(SUMIFS('Trade Log'!G:G,'Trade Log'!I:I,A19,'Trade Log'!F:F,"BUY"),SUMIFS('Trade Log'!G:G,'Trade Log'!I:I,A19,'Trade Log'!F:F,"SELL")))</f>
        <v/>
      </c>
      <c r="G19" s="3">
        <f>IF(A19="","",SUMIFS('Trade Log'!K:K,'Trade Log'!I:I,A19,'Trade Log'!F:F,"BUY")/SUMIFS('Trade Log'!G:G,'Trade Log'!I:I,A19,'Trade Log'!F:F,"BUY"))</f>
        <v/>
      </c>
      <c r="H19" s="3">
        <f>IF(A19="","",SUMIFS('Trade Log'!K:K,'Trade Log'!I:I,A19,'Trade Log'!F:F,"SELL")/SUMIFS('Trade Log'!G:G,'Trade Log'!I:I,A19,'Trade Log'!F:F,"SELL"))</f>
        <v/>
      </c>
      <c r="I19" s="3">
        <f>IF(A19="","",(H19-G19)*F19)</f>
        <v/>
      </c>
      <c r="J19" s="3">
        <f>IF(A19="","",SUMIFS('Trade Log'!R:R,'Trade Log'!I:I,A19))</f>
        <v/>
      </c>
      <c r="K19" s="3">
        <f>IF(A19="","",I19-J19)</f>
        <v/>
      </c>
      <c r="L19" s="4">
        <f>IF(A19="","",IF(G19*F19=0,"",K19/(G19*F19)))</f>
        <v/>
      </c>
      <c r="M19">
        <f>IF(A19="","",E19-D19)</f>
        <v/>
      </c>
    </row>
    <row r="20">
      <c r="B20">
        <f>IF(A20="","",INDEX('Trade Log'!C:C,MATCH(A20,'Trade Log'!I:I,0)))</f>
        <v/>
      </c>
      <c r="C20">
        <f>IF(A20="","",INDEX('Trade Log'!E:E,MATCH(A20,'Trade Log'!I:I,0)))</f>
        <v/>
      </c>
      <c r="D20">
        <f>IF(A20="","",MINIFS('Trade Log'!B:B,'Trade Log'!I:I,A20,'Trade Log'!F:F,"BUY"))</f>
        <v/>
      </c>
      <c r="E20">
        <f>IF(A20="","",MAXIFS('Trade Log'!B:B,'Trade Log'!I:I,A20,'Trade Log'!F:F,"SELL"))</f>
        <v/>
      </c>
      <c r="F20" s="3">
        <f>IF(A20="","",MIN(SUMIFS('Trade Log'!G:G,'Trade Log'!I:I,A20,'Trade Log'!F:F,"BUY"),SUMIFS('Trade Log'!G:G,'Trade Log'!I:I,A20,'Trade Log'!F:F,"SELL")))</f>
        <v/>
      </c>
      <c r="G20" s="3">
        <f>IF(A20="","",SUMIFS('Trade Log'!K:K,'Trade Log'!I:I,A20,'Trade Log'!F:F,"BUY")/SUMIFS('Trade Log'!G:G,'Trade Log'!I:I,A20,'Trade Log'!F:F,"BUY"))</f>
        <v/>
      </c>
      <c r="H20" s="3">
        <f>IF(A20="","",SUMIFS('Trade Log'!K:K,'Trade Log'!I:I,A20,'Trade Log'!F:F,"SELL")/SUMIFS('Trade Log'!G:G,'Trade Log'!I:I,A20,'Trade Log'!F:F,"SELL"))</f>
        <v/>
      </c>
      <c r="I20" s="3">
        <f>IF(A20="","",(H20-G20)*F20)</f>
        <v/>
      </c>
      <c r="J20" s="3">
        <f>IF(A20="","",SUMIFS('Trade Log'!R:R,'Trade Log'!I:I,A20))</f>
        <v/>
      </c>
      <c r="K20" s="3">
        <f>IF(A20="","",I20-J20)</f>
        <v/>
      </c>
      <c r="L20" s="4">
        <f>IF(A20="","",IF(G20*F20=0,"",K20/(G20*F20)))</f>
        <v/>
      </c>
      <c r="M20">
        <f>IF(A20="","",E20-D20)</f>
        <v/>
      </c>
    </row>
    <row r="21">
      <c r="B21">
        <f>IF(A21="","",INDEX('Trade Log'!C:C,MATCH(A21,'Trade Log'!I:I,0)))</f>
        <v/>
      </c>
      <c r="C21">
        <f>IF(A21="","",INDEX('Trade Log'!E:E,MATCH(A21,'Trade Log'!I:I,0)))</f>
        <v/>
      </c>
      <c r="D21">
        <f>IF(A21="","",MINIFS('Trade Log'!B:B,'Trade Log'!I:I,A21,'Trade Log'!F:F,"BUY"))</f>
        <v/>
      </c>
      <c r="E21">
        <f>IF(A21="","",MAXIFS('Trade Log'!B:B,'Trade Log'!I:I,A21,'Trade Log'!F:F,"SELL"))</f>
        <v/>
      </c>
      <c r="F21" s="3">
        <f>IF(A21="","",MIN(SUMIFS('Trade Log'!G:G,'Trade Log'!I:I,A21,'Trade Log'!F:F,"BUY"),SUMIFS('Trade Log'!G:G,'Trade Log'!I:I,A21,'Trade Log'!F:F,"SELL")))</f>
        <v/>
      </c>
      <c r="G21" s="3">
        <f>IF(A21="","",SUMIFS('Trade Log'!K:K,'Trade Log'!I:I,A21,'Trade Log'!F:F,"BUY")/SUMIFS('Trade Log'!G:G,'Trade Log'!I:I,A21,'Trade Log'!F:F,"BUY"))</f>
        <v/>
      </c>
      <c r="H21" s="3">
        <f>IF(A21="","",SUMIFS('Trade Log'!K:K,'Trade Log'!I:I,A21,'Trade Log'!F:F,"SELL")/SUMIFS('Trade Log'!G:G,'Trade Log'!I:I,A21,'Trade Log'!F:F,"SELL"))</f>
        <v/>
      </c>
      <c r="I21" s="3">
        <f>IF(A21="","",(H21-G21)*F21)</f>
        <v/>
      </c>
      <c r="J21" s="3">
        <f>IF(A21="","",SUMIFS('Trade Log'!R:R,'Trade Log'!I:I,A21))</f>
        <v/>
      </c>
      <c r="K21" s="3">
        <f>IF(A21="","",I21-J21)</f>
        <v/>
      </c>
      <c r="L21" s="4">
        <f>IF(A21="","",IF(G21*F21=0,"",K21/(G21*F21)))</f>
        <v/>
      </c>
      <c r="M21">
        <f>IF(A21="","",E21-D21)</f>
        <v/>
      </c>
    </row>
    <row r="22">
      <c r="B22">
        <f>IF(A22="","",INDEX('Trade Log'!C:C,MATCH(A22,'Trade Log'!I:I,0)))</f>
        <v/>
      </c>
      <c r="C22">
        <f>IF(A22="","",INDEX('Trade Log'!E:E,MATCH(A22,'Trade Log'!I:I,0)))</f>
        <v/>
      </c>
      <c r="D22">
        <f>IF(A22="","",MINIFS('Trade Log'!B:B,'Trade Log'!I:I,A22,'Trade Log'!F:F,"BUY"))</f>
        <v/>
      </c>
      <c r="E22">
        <f>IF(A22="","",MAXIFS('Trade Log'!B:B,'Trade Log'!I:I,A22,'Trade Log'!F:F,"SELL"))</f>
        <v/>
      </c>
      <c r="F22" s="3">
        <f>IF(A22="","",MIN(SUMIFS('Trade Log'!G:G,'Trade Log'!I:I,A22,'Trade Log'!F:F,"BUY"),SUMIFS('Trade Log'!G:G,'Trade Log'!I:I,A22,'Trade Log'!F:F,"SELL")))</f>
        <v/>
      </c>
      <c r="G22" s="3">
        <f>IF(A22="","",SUMIFS('Trade Log'!K:K,'Trade Log'!I:I,A22,'Trade Log'!F:F,"BUY")/SUMIFS('Trade Log'!G:G,'Trade Log'!I:I,A22,'Trade Log'!F:F,"BUY"))</f>
        <v/>
      </c>
      <c r="H22" s="3">
        <f>IF(A22="","",SUMIFS('Trade Log'!K:K,'Trade Log'!I:I,A22,'Trade Log'!F:F,"SELL")/SUMIFS('Trade Log'!G:G,'Trade Log'!I:I,A22,'Trade Log'!F:F,"SELL"))</f>
        <v/>
      </c>
      <c r="I22" s="3">
        <f>IF(A22="","",(H22-G22)*F22)</f>
        <v/>
      </c>
      <c r="J22" s="3">
        <f>IF(A22="","",SUMIFS('Trade Log'!R:R,'Trade Log'!I:I,A22))</f>
        <v/>
      </c>
      <c r="K22" s="3">
        <f>IF(A22="","",I22-J22)</f>
        <v/>
      </c>
      <c r="L22" s="4">
        <f>IF(A22="","",IF(G22*F22=0,"",K22/(G22*F22)))</f>
        <v/>
      </c>
      <c r="M22">
        <f>IF(A22="","",E22-D22)</f>
        <v/>
      </c>
    </row>
    <row r="23">
      <c r="B23">
        <f>IF(A23="","",INDEX('Trade Log'!C:C,MATCH(A23,'Trade Log'!I:I,0)))</f>
        <v/>
      </c>
      <c r="C23">
        <f>IF(A23="","",INDEX('Trade Log'!E:E,MATCH(A23,'Trade Log'!I:I,0)))</f>
        <v/>
      </c>
      <c r="D23">
        <f>IF(A23="","",MINIFS('Trade Log'!B:B,'Trade Log'!I:I,A23,'Trade Log'!F:F,"BUY"))</f>
        <v/>
      </c>
      <c r="E23">
        <f>IF(A23="","",MAXIFS('Trade Log'!B:B,'Trade Log'!I:I,A23,'Trade Log'!F:F,"SELL"))</f>
        <v/>
      </c>
      <c r="F23" s="3">
        <f>IF(A23="","",MIN(SUMIFS('Trade Log'!G:G,'Trade Log'!I:I,A23,'Trade Log'!F:F,"BUY"),SUMIFS('Trade Log'!G:G,'Trade Log'!I:I,A23,'Trade Log'!F:F,"SELL")))</f>
        <v/>
      </c>
      <c r="G23" s="3">
        <f>IF(A23="","",SUMIFS('Trade Log'!K:K,'Trade Log'!I:I,A23,'Trade Log'!F:F,"BUY")/SUMIFS('Trade Log'!G:G,'Trade Log'!I:I,A23,'Trade Log'!F:F,"BUY"))</f>
        <v/>
      </c>
      <c r="H23" s="3">
        <f>IF(A23="","",SUMIFS('Trade Log'!K:K,'Trade Log'!I:I,A23,'Trade Log'!F:F,"SELL")/SUMIFS('Trade Log'!G:G,'Trade Log'!I:I,A23,'Trade Log'!F:F,"SELL"))</f>
        <v/>
      </c>
      <c r="I23" s="3">
        <f>IF(A23="","",(H23-G23)*F23)</f>
        <v/>
      </c>
      <c r="J23" s="3">
        <f>IF(A23="","",SUMIFS('Trade Log'!R:R,'Trade Log'!I:I,A23))</f>
        <v/>
      </c>
      <c r="K23" s="3">
        <f>IF(A23="","",I23-J23)</f>
        <v/>
      </c>
      <c r="L23" s="4">
        <f>IF(A23="","",IF(G23*F23=0,"",K23/(G23*F23)))</f>
        <v/>
      </c>
      <c r="M23">
        <f>IF(A23="","",E23-D23)</f>
        <v/>
      </c>
    </row>
    <row r="24">
      <c r="B24">
        <f>IF(A24="","",INDEX('Trade Log'!C:C,MATCH(A24,'Trade Log'!I:I,0)))</f>
        <v/>
      </c>
      <c r="C24">
        <f>IF(A24="","",INDEX('Trade Log'!E:E,MATCH(A24,'Trade Log'!I:I,0)))</f>
        <v/>
      </c>
      <c r="D24">
        <f>IF(A24="","",MINIFS('Trade Log'!B:B,'Trade Log'!I:I,A24,'Trade Log'!F:F,"BUY"))</f>
        <v/>
      </c>
      <c r="E24">
        <f>IF(A24="","",MAXIFS('Trade Log'!B:B,'Trade Log'!I:I,A24,'Trade Log'!F:F,"SELL"))</f>
        <v/>
      </c>
      <c r="F24" s="3">
        <f>IF(A24="","",MIN(SUMIFS('Trade Log'!G:G,'Trade Log'!I:I,A24,'Trade Log'!F:F,"BUY"),SUMIFS('Trade Log'!G:G,'Trade Log'!I:I,A24,'Trade Log'!F:F,"SELL")))</f>
        <v/>
      </c>
      <c r="G24" s="3">
        <f>IF(A24="","",SUMIFS('Trade Log'!K:K,'Trade Log'!I:I,A24,'Trade Log'!F:F,"BUY")/SUMIFS('Trade Log'!G:G,'Trade Log'!I:I,A24,'Trade Log'!F:F,"BUY"))</f>
        <v/>
      </c>
      <c r="H24" s="3">
        <f>IF(A24="","",SUMIFS('Trade Log'!K:K,'Trade Log'!I:I,A24,'Trade Log'!F:F,"SELL")/SUMIFS('Trade Log'!G:G,'Trade Log'!I:I,A24,'Trade Log'!F:F,"SELL"))</f>
        <v/>
      </c>
      <c r="I24" s="3">
        <f>IF(A24="","",(H24-G24)*F24)</f>
        <v/>
      </c>
      <c r="J24" s="3">
        <f>IF(A24="","",SUMIFS('Trade Log'!R:R,'Trade Log'!I:I,A24))</f>
        <v/>
      </c>
      <c r="K24" s="3">
        <f>IF(A24="","",I24-J24)</f>
        <v/>
      </c>
      <c r="L24" s="4">
        <f>IF(A24="","",IF(G24*F24=0,"",K24/(G24*F24)))</f>
        <v/>
      </c>
      <c r="M24">
        <f>IF(A24="","",E24-D24)</f>
        <v/>
      </c>
    </row>
    <row r="25">
      <c r="B25">
        <f>IF(A25="","",INDEX('Trade Log'!C:C,MATCH(A25,'Trade Log'!I:I,0)))</f>
        <v/>
      </c>
      <c r="C25">
        <f>IF(A25="","",INDEX('Trade Log'!E:E,MATCH(A25,'Trade Log'!I:I,0)))</f>
        <v/>
      </c>
      <c r="D25">
        <f>IF(A25="","",MINIFS('Trade Log'!B:B,'Trade Log'!I:I,A25,'Trade Log'!F:F,"BUY"))</f>
        <v/>
      </c>
      <c r="E25">
        <f>IF(A25="","",MAXIFS('Trade Log'!B:B,'Trade Log'!I:I,A25,'Trade Log'!F:F,"SELL"))</f>
        <v/>
      </c>
      <c r="F25" s="3">
        <f>IF(A25="","",MIN(SUMIFS('Trade Log'!G:G,'Trade Log'!I:I,A25,'Trade Log'!F:F,"BUY"),SUMIFS('Trade Log'!G:G,'Trade Log'!I:I,A25,'Trade Log'!F:F,"SELL")))</f>
        <v/>
      </c>
      <c r="G25" s="3">
        <f>IF(A25="","",SUMIFS('Trade Log'!K:K,'Trade Log'!I:I,A25,'Trade Log'!F:F,"BUY")/SUMIFS('Trade Log'!G:G,'Trade Log'!I:I,A25,'Trade Log'!F:F,"BUY"))</f>
        <v/>
      </c>
      <c r="H25" s="3">
        <f>IF(A25="","",SUMIFS('Trade Log'!K:K,'Trade Log'!I:I,A25,'Trade Log'!F:F,"SELL")/SUMIFS('Trade Log'!G:G,'Trade Log'!I:I,A25,'Trade Log'!F:F,"SELL"))</f>
        <v/>
      </c>
      <c r="I25" s="3">
        <f>IF(A25="","",(H25-G25)*F25)</f>
        <v/>
      </c>
      <c r="J25" s="3">
        <f>IF(A25="","",SUMIFS('Trade Log'!R:R,'Trade Log'!I:I,A25))</f>
        <v/>
      </c>
      <c r="K25" s="3">
        <f>IF(A25="","",I25-J25)</f>
        <v/>
      </c>
      <c r="L25" s="4">
        <f>IF(A25="","",IF(G25*F25=0,"",K25/(G25*F25)))</f>
        <v/>
      </c>
      <c r="M25">
        <f>IF(A25="","",E25-D25)</f>
        <v/>
      </c>
    </row>
    <row r="26">
      <c r="B26">
        <f>IF(A26="","",INDEX('Trade Log'!C:C,MATCH(A26,'Trade Log'!I:I,0)))</f>
        <v/>
      </c>
      <c r="C26">
        <f>IF(A26="","",INDEX('Trade Log'!E:E,MATCH(A26,'Trade Log'!I:I,0)))</f>
        <v/>
      </c>
      <c r="D26">
        <f>IF(A26="","",MINIFS('Trade Log'!B:B,'Trade Log'!I:I,A26,'Trade Log'!F:F,"BUY"))</f>
        <v/>
      </c>
      <c r="E26">
        <f>IF(A26="","",MAXIFS('Trade Log'!B:B,'Trade Log'!I:I,A26,'Trade Log'!F:F,"SELL"))</f>
        <v/>
      </c>
      <c r="F26" s="3">
        <f>IF(A26="","",MIN(SUMIFS('Trade Log'!G:G,'Trade Log'!I:I,A26,'Trade Log'!F:F,"BUY"),SUMIFS('Trade Log'!G:G,'Trade Log'!I:I,A26,'Trade Log'!F:F,"SELL")))</f>
        <v/>
      </c>
      <c r="G26" s="3">
        <f>IF(A26="","",SUMIFS('Trade Log'!K:K,'Trade Log'!I:I,A26,'Trade Log'!F:F,"BUY")/SUMIFS('Trade Log'!G:G,'Trade Log'!I:I,A26,'Trade Log'!F:F,"BUY"))</f>
        <v/>
      </c>
      <c r="H26" s="3">
        <f>IF(A26="","",SUMIFS('Trade Log'!K:K,'Trade Log'!I:I,A26,'Trade Log'!F:F,"SELL")/SUMIFS('Trade Log'!G:G,'Trade Log'!I:I,A26,'Trade Log'!F:F,"SELL"))</f>
        <v/>
      </c>
      <c r="I26" s="3">
        <f>IF(A26="","",(H26-G26)*F26)</f>
        <v/>
      </c>
      <c r="J26" s="3">
        <f>IF(A26="","",SUMIFS('Trade Log'!R:R,'Trade Log'!I:I,A26))</f>
        <v/>
      </c>
      <c r="K26" s="3">
        <f>IF(A26="","",I26-J26)</f>
        <v/>
      </c>
      <c r="L26" s="4">
        <f>IF(A26="","",IF(G26*F26=0,"",K26/(G26*F26)))</f>
        <v/>
      </c>
      <c r="M26">
        <f>IF(A26="","",E26-D26)</f>
        <v/>
      </c>
    </row>
    <row r="27">
      <c r="B27">
        <f>IF(A27="","",INDEX('Trade Log'!C:C,MATCH(A27,'Trade Log'!I:I,0)))</f>
        <v/>
      </c>
      <c r="C27">
        <f>IF(A27="","",INDEX('Trade Log'!E:E,MATCH(A27,'Trade Log'!I:I,0)))</f>
        <v/>
      </c>
      <c r="D27">
        <f>IF(A27="","",MINIFS('Trade Log'!B:B,'Trade Log'!I:I,A27,'Trade Log'!F:F,"BUY"))</f>
        <v/>
      </c>
      <c r="E27">
        <f>IF(A27="","",MAXIFS('Trade Log'!B:B,'Trade Log'!I:I,A27,'Trade Log'!F:F,"SELL"))</f>
        <v/>
      </c>
      <c r="F27" s="3">
        <f>IF(A27="","",MIN(SUMIFS('Trade Log'!G:G,'Trade Log'!I:I,A27,'Trade Log'!F:F,"BUY"),SUMIFS('Trade Log'!G:G,'Trade Log'!I:I,A27,'Trade Log'!F:F,"SELL")))</f>
        <v/>
      </c>
      <c r="G27" s="3">
        <f>IF(A27="","",SUMIFS('Trade Log'!K:K,'Trade Log'!I:I,A27,'Trade Log'!F:F,"BUY")/SUMIFS('Trade Log'!G:G,'Trade Log'!I:I,A27,'Trade Log'!F:F,"BUY"))</f>
        <v/>
      </c>
      <c r="H27" s="3">
        <f>IF(A27="","",SUMIFS('Trade Log'!K:K,'Trade Log'!I:I,A27,'Trade Log'!F:F,"SELL")/SUMIFS('Trade Log'!G:G,'Trade Log'!I:I,A27,'Trade Log'!F:F,"SELL"))</f>
        <v/>
      </c>
      <c r="I27" s="3">
        <f>IF(A27="","",(H27-G27)*F27)</f>
        <v/>
      </c>
      <c r="J27" s="3">
        <f>IF(A27="","",SUMIFS('Trade Log'!R:R,'Trade Log'!I:I,A27))</f>
        <v/>
      </c>
      <c r="K27" s="3">
        <f>IF(A27="","",I27-J27)</f>
        <v/>
      </c>
      <c r="L27" s="4">
        <f>IF(A27="","",IF(G27*F27=0,"",K27/(G27*F27)))</f>
        <v/>
      </c>
      <c r="M27">
        <f>IF(A27="","",E27-D27)</f>
        <v/>
      </c>
    </row>
    <row r="28">
      <c r="B28">
        <f>IF(A28="","",INDEX('Trade Log'!C:C,MATCH(A28,'Trade Log'!I:I,0)))</f>
        <v/>
      </c>
      <c r="C28">
        <f>IF(A28="","",INDEX('Trade Log'!E:E,MATCH(A28,'Trade Log'!I:I,0)))</f>
        <v/>
      </c>
      <c r="D28">
        <f>IF(A28="","",MINIFS('Trade Log'!B:B,'Trade Log'!I:I,A28,'Trade Log'!F:F,"BUY"))</f>
        <v/>
      </c>
      <c r="E28">
        <f>IF(A28="","",MAXIFS('Trade Log'!B:B,'Trade Log'!I:I,A28,'Trade Log'!F:F,"SELL"))</f>
        <v/>
      </c>
      <c r="F28" s="3">
        <f>IF(A28="","",MIN(SUMIFS('Trade Log'!G:G,'Trade Log'!I:I,A28,'Trade Log'!F:F,"BUY"),SUMIFS('Trade Log'!G:G,'Trade Log'!I:I,A28,'Trade Log'!F:F,"SELL")))</f>
        <v/>
      </c>
      <c r="G28" s="3">
        <f>IF(A28="","",SUMIFS('Trade Log'!K:K,'Trade Log'!I:I,A28,'Trade Log'!F:F,"BUY")/SUMIFS('Trade Log'!G:G,'Trade Log'!I:I,A28,'Trade Log'!F:F,"BUY"))</f>
        <v/>
      </c>
      <c r="H28" s="3">
        <f>IF(A28="","",SUMIFS('Trade Log'!K:K,'Trade Log'!I:I,A28,'Trade Log'!F:F,"SELL")/SUMIFS('Trade Log'!G:G,'Trade Log'!I:I,A28,'Trade Log'!F:F,"SELL"))</f>
        <v/>
      </c>
      <c r="I28" s="3">
        <f>IF(A28="","",(H28-G28)*F28)</f>
        <v/>
      </c>
      <c r="J28" s="3">
        <f>IF(A28="","",SUMIFS('Trade Log'!R:R,'Trade Log'!I:I,A28))</f>
        <v/>
      </c>
      <c r="K28" s="3">
        <f>IF(A28="","",I28-J28)</f>
        <v/>
      </c>
      <c r="L28" s="4">
        <f>IF(A28="","",IF(G28*F28=0,"",K28/(G28*F28)))</f>
        <v/>
      </c>
      <c r="M28">
        <f>IF(A28="","",E28-D28)</f>
        <v/>
      </c>
    </row>
    <row r="29">
      <c r="B29">
        <f>IF(A29="","",INDEX('Trade Log'!C:C,MATCH(A29,'Trade Log'!I:I,0)))</f>
        <v/>
      </c>
      <c r="C29">
        <f>IF(A29="","",INDEX('Trade Log'!E:E,MATCH(A29,'Trade Log'!I:I,0)))</f>
        <v/>
      </c>
      <c r="D29">
        <f>IF(A29="","",MINIFS('Trade Log'!B:B,'Trade Log'!I:I,A29,'Trade Log'!F:F,"BUY"))</f>
        <v/>
      </c>
      <c r="E29">
        <f>IF(A29="","",MAXIFS('Trade Log'!B:B,'Trade Log'!I:I,A29,'Trade Log'!F:F,"SELL"))</f>
        <v/>
      </c>
      <c r="F29" s="3">
        <f>IF(A29="","",MIN(SUMIFS('Trade Log'!G:G,'Trade Log'!I:I,A29,'Trade Log'!F:F,"BUY"),SUMIFS('Trade Log'!G:G,'Trade Log'!I:I,A29,'Trade Log'!F:F,"SELL")))</f>
        <v/>
      </c>
      <c r="G29" s="3">
        <f>IF(A29="","",SUMIFS('Trade Log'!K:K,'Trade Log'!I:I,A29,'Trade Log'!F:F,"BUY")/SUMIFS('Trade Log'!G:G,'Trade Log'!I:I,A29,'Trade Log'!F:F,"BUY"))</f>
        <v/>
      </c>
      <c r="H29" s="3">
        <f>IF(A29="","",SUMIFS('Trade Log'!K:K,'Trade Log'!I:I,A29,'Trade Log'!F:F,"SELL")/SUMIFS('Trade Log'!G:G,'Trade Log'!I:I,A29,'Trade Log'!F:F,"SELL"))</f>
        <v/>
      </c>
      <c r="I29" s="3">
        <f>IF(A29="","",(H29-G29)*F29)</f>
        <v/>
      </c>
      <c r="J29" s="3">
        <f>IF(A29="","",SUMIFS('Trade Log'!R:R,'Trade Log'!I:I,A29))</f>
        <v/>
      </c>
      <c r="K29" s="3">
        <f>IF(A29="","",I29-J29)</f>
        <v/>
      </c>
      <c r="L29" s="4">
        <f>IF(A29="","",IF(G29*F29=0,"",K29/(G29*F29)))</f>
        <v/>
      </c>
      <c r="M29">
        <f>IF(A29="","",E29-D29)</f>
        <v/>
      </c>
    </row>
    <row r="30">
      <c r="B30">
        <f>IF(A30="","",INDEX('Trade Log'!C:C,MATCH(A30,'Trade Log'!I:I,0)))</f>
        <v/>
      </c>
      <c r="C30">
        <f>IF(A30="","",INDEX('Trade Log'!E:E,MATCH(A30,'Trade Log'!I:I,0)))</f>
        <v/>
      </c>
      <c r="D30">
        <f>IF(A30="","",MINIFS('Trade Log'!B:B,'Trade Log'!I:I,A30,'Trade Log'!F:F,"BUY"))</f>
        <v/>
      </c>
      <c r="E30">
        <f>IF(A30="","",MAXIFS('Trade Log'!B:B,'Trade Log'!I:I,A30,'Trade Log'!F:F,"SELL"))</f>
        <v/>
      </c>
      <c r="F30" s="3">
        <f>IF(A30="","",MIN(SUMIFS('Trade Log'!G:G,'Trade Log'!I:I,A30,'Trade Log'!F:F,"BUY"),SUMIFS('Trade Log'!G:G,'Trade Log'!I:I,A30,'Trade Log'!F:F,"SELL")))</f>
        <v/>
      </c>
      <c r="G30" s="3">
        <f>IF(A30="","",SUMIFS('Trade Log'!K:K,'Trade Log'!I:I,A30,'Trade Log'!F:F,"BUY")/SUMIFS('Trade Log'!G:G,'Trade Log'!I:I,A30,'Trade Log'!F:F,"BUY"))</f>
        <v/>
      </c>
      <c r="H30" s="3">
        <f>IF(A30="","",SUMIFS('Trade Log'!K:K,'Trade Log'!I:I,A30,'Trade Log'!F:F,"SELL")/SUMIFS('Trade Log'!G:G,'Trade Log'!I:I,A30,'Trade Log'!F:F,"SELL"))</f>
        <v/>
      </c>
      <c r="I30" s="3">
        <f>IF(A30="","",(H30-G30)*F30)</f>
        <v/>
      </c>
      <c r="J30" s="3">
        <f>IF(A30="","",SUMIFS('Trade Log'!R:R,'Trade Log'!I:I,A30))</f>
        <v/>
      </c>
      <c r="K30" s="3">
        <f>IF(A30="","",I30-J30)</f>
        <v/>
      </c>
      <c r="L30" s="4">
        <f>IF(A30="","",IF(G30*F30=0,"",K30/(G30*F30)))</f>
        <v/>
      </c>
      <c r="M30">
        <f>IF(A30="","",E30-D30)</f>
        <v/>
      </c>
    </row>
    <row r="31">
      <c r="B31">
        <f>IF(A31="","",INDEX('Trade Log'!C:C,MATCH(A31,'Trade Log'!I:I,0)))</f>
        <v/>
      </c>
      <c r="C31">
        <f>IF(A31="","",INDEX('Trade Log'!E:E,MATCH(A31,'Trade Log'!I:I,0)))</f>
        <v/>
      </c>
      <c r="D31">
        <f>IF(A31="","",MINIFS('Trade Log'!B:B,'Trade Log'!I:I,A31,'Trade Log'!F:F,"BUY"))</f>
        <v/>
      </c>
      <c r="E31">
        <f>IF(A31="","",MAXIFS('Trade Log'!B:B,'Trade Log'!I:I,A31,'Trade Log'!F:F,"SELL"))</f>
        <v/>
      </c>
      <c r="F31" s="3">
        <f>IF(A31="","",MIN(SUMIFS('Trade Log'!G:G,'Trade Log'!I:I,A31,'Trade Log'!F:F,"BUY"),SUMIFS('Trade Log'!G:G,'Trade Log'!I:I,A31,'Trade Log'!F:F,"SELL")))</f>
        <v/>
      </c>
      <c r="G31" s="3">
        <f>IF(A31="","",SUMIFS('Trade Log'!K:K,'Trade Log'!I:I,A31,'Trade Log'!F:F,"BUY")/SUMIFS('Trade Log'!G:G,'Trade Log'!I:I,A31,'Trade Log'!F:F,"BUY"))</f>
        <v/>
      </c>
      <c r="H31" s="3">
        <f>IF(A31="","",SUMIFS('Trade Log'!K:K,'Trade Log'!I:I,A31,'Trade Log'!F:F,"SELL")/SUMIFS('Trade Log'!G:G,'Trade Log'!I:I,A31,'Trade Log'!F:F,"SELL"))</f>
        <v/>
      </c>
      <c r="I31" s="3">
        <f>IF(A31="","",(H31-G31)*F31)</f>
        <v/>
      </c>
      <c r="J31" s="3">
        <f>IF(A31="","",SUMIFS('Trade Log'!R:R,'Trade Log'!I:I,A31))</f>
        <v/>
      </c>
      <c r="K31" s="3">
        <f>IF(A31="","",I31-J31)</f>
        <v/>
      </c>
      <c r="L31" s="4">
        <f>IF(A31="","",IF(G31*F31=0,"",K31/(G31*F31)))</f>
        <v/>
      </c>
      <c r="M31">
        <f>IF(A31="","",E31-D31)</f>
        <v/>
      </c>
    </row>
    <row r="32">
      <c r="B32">
        <f>IF(A32="","",INDEX('Trade Log'!C:C,MATCH(A32,'Trade Log'!I:I,0)))</f>
        <v/>
      </c>
      <c r="C32">
        <f>IF(A32="","",INDEX('Trade Log'!E:E,MATCH(A32,'Trade Log'!I:I,0)))</f>
        <v/>
      </c>
      <c r="D32">
        <f>IF(A32="","",MINIFS('Trade Log'!B:B,'Trade Log'!I:I,A32,'Trade Log'!F:F,"BUY"))</f>
        <v/>
      </c>
      <c r="E32">
        <f>IF(A32="","",MAXIFS('Trade Log'!B:B,'Trade Log'!I:I,A32,'Trade Log'!F:F,"SELL"))</f>
        <v/>
      </c>
      <c r="F32" s="3">
        <f>IF(A32="","",MIN(SUMIFS('Trade Log'!G:G,'Trade Log'!I:I,A32,'Trade Log'!F:F,"BUY"),SUMIFS('Trade Log'!G:G,'Trade Log'!I:I,A32,'Trade Log'!F:F,"SELL")))</f>
        <v/>
      </c>
      <c r="G32" s="3">
        <f>IF(A32="","",SUMIFS('Trade Log'!K:K,'Trade Log'!I:I,A32,'Trade Log'!F:F,"BUY")/SUMIFS('Trade Log'!G:G,'Trade Log'!I:I,A32,'Trade Log'!F:F,"BUY"))</f>
        <v/>
      </c>
      <c r="H32" s="3">
        <f>IF(A32="","",SUMIFS('Trade Log'!K:K,'Trade Log'!I:I,A32,'Trade Log'!F:F,"SELL")/SUMIFS('Trade Log'!G:G,'Trade Log'!I:I,A32,'Trade Log'!F:F,"SELL"))</f>
        <v/>
      </c>
      <c r="I32" s="3">
        <f>IF(A32="","",(H32-G32)*F32)</f>
        <v/>
      </c>
      <c r="J32" s="3">
        <f>IF(A32="","",SUMIFS('Trade Log'!R:R,'Trade Log'!I:I,A32))</f>
        <v/>
      </c>
      <c r="K32" s="3">
        <f>IF(A32="","",I32-J32)</f>
        <v/>
      </c>
      <c r="L32" s="4">
        <f>IF(A32="","",IF(G32*F32=0,"",K32/(G32*F32)))</f>
        <v/>
      </c>
      <c r="M32">
        <f>IF(A32="","",E32-D32)</f>
        <v/>
      </c>
    </row>
    <row r="33">
      <c r="B33">
        <f>IF(A33="","",INDEX('Trade Log'!C:C,MATCH(A33,'Trade Log'!I:I,0)))</f>
        <v/>
      </c>
      <c r="C33">
        <f>IF(A33="","",INDEX('Trade Log'!E:E,MATCH(A33,'Trade Log'!I:I,0)))</f>
        <v/>
      </c>
      <c r="D33">
        <f>IF(A33="","",MINIFS('Trade Log'!B:B,'Trade Log'!I:I,A33,'Trade Log'!F:F,"BUY"))</f>
        <v/>
      </c>
      <c r="E33">
        <f>IF(A33="","",MAXIFS('Trade Log'!B:B,'Trade Log'!I:I,A33,'Trade Log'!F:F,"SELL"))</f>
        <v/>
      </c>
      <c r="F33" s="3">
        <f>IF(A33="","",MIN(SUMIFS('Trade Log'!G:G,'Trade Log'!I:I,A33,'Trade Log'!F:F,"BUY"),SUMIFS('Trade Log'!G:G,'Trade Log'!I:I,A33,'Trade Log'!F:F,"SELL")))</f>
        <v/>
      </c>
      <c r="G33" s="3">
        <f>IF(A33="","",SUMIFS('Trade Log'!K:K,'Trade Log'!I:I,A33,'Trade Log'!F:F,"BUY")/SUMIFS('Trade Log'!G:G,'Trade Log'!I:I,A33,'Trade Log'!F:F,"BUY"))</f>
        <v/>
      </c>
      <c r="H33" s="3">
        <f>IF(A33="","",SUMIFS('Trade Log'!K:K,'Trade Log'!I:I,A33,'Trade Log'!F:F,"SELL")/SUMIFS('Trade Log'!G:G,'Trade Log'!I:I,A33,'Trade Log'!F:F,"SELL"))</f>
        <v/>
      </c>
      <c r="I33" s="3">
        <f>IF(A33="","",(H33-G33)*F33)</f>
        <v/>
      </c>
      <c r="J33" s="3">
        <f>IF(A33="","",SUMIFS('Trade Log'!R:R,'Trade Log'!I:I,A33))</f>
        <v/>
      </c>
      <c r="K33" s="3">
        <f>IF(A33="","",I33-J33)</f>
        <v/>
      </c>
      <c r="L33" s="4">
        <f>IF(A33="","",IF(G33*F33=0,"",K33/(G33*F33)))</f>
        <v/>
      </c>
      <c r="M33">
        <f>IF(A33="","",E33-D33)</f>
        <v/>
      </c>
    </row>
    <row r="34">
      <c r="B34">
        <f>IF(A34="","",INDEX('Trade Log'!C:C,MATCH(A34,'Trade Log'!I:I,0)))</f>
        <v/>
      </c>
      <c r="C34">
        <f>IF(A34="","",INDEX('Trade Log'!E:E,MATCH(A34,'Trade Log'!I:I,0)))</f>
        <v/>
      </c>
      <c r="D34">
        <f>IF(A34="","",MINIFS('Trade Log'!B:B,'Trade Log'!I:I,A34,'Trade Log'!F:F,"BUY"))</f>
        <v/>
      </c>
      <c r="E34">
        <f>IF(A34="","",MAXIFS('Trade Log'!B:B,'Trade Log'!I:I,A34,'Trade Log'!F:F,"SELL"))</f>
        <v/>
      </c>
      <c r="F34" s="3">
        <f>IF(A34="","",MIN(SUMIFS('Trade Log'!G:G,'Trade Log'!I:I,A34,'Trade Log'!F:F,"BUY"),SUMIFS('Trade Log'!G:G,'Trade Log'!I:I,A34,'Trade Log'!F:F,"SELL")))</f>
        <v/>
      </c>
      <c r="G34" s="3">
        <f>IF(A34="","",SUMIFS('Trade Log'!K:K,'Trade Log'!I:I,A34,'Trade Log'!F:F,"BUY")/SUMIFS('Trade Log'!G:G,'Trade Log'!I:I,A34,'Trade Log'!F:F,"BUY"))</f>
        <v/>
      </c>
      <c r="H34" s="3">
        <f>IF(A34="","",SUMIFS('Trade Log'!K:K,'Trade Log'!I:I,A34,'Trade Log'!F:F,"SELL")/SUMIFS('Trade Log'!G:G,'Trade Log'!I:I,A34,'Trade Log'!F:F,"SELL"))</f>
        <v/>
      </c>
      <c r="I34" s="3">
        <f>IF(A34="","",(H34-G34)*F34)</f>
        <v/>
      </c>
      <c r="J34" s="3">
        <f>IF(A34="","",SUMIFS('Trade Log'!R:R,'Trade Log'!I:I,A34))</f>
        <v/>
      </c>
      <c r="K34" s="3">
        <f>IF(A34="","",I34-J34)</f>
        <v/>
      </c>
      <c r="L34" s="4">
        <f>IF(A34="","",IF(G34*F34=0,"",K34/(G34*F34)))</f>
        <v/>
      </c>
      <c r="M34">
        <f>IF(A34="","",E34-D34)</f>
        <v/>
      </c>
    </row>
    <row r="35">
      <c r="B35">
        <f>IF(A35="","",INDEX('Trade Log'!C:C,MATCH(A35,'Trade Log'!I:I,0)))</f>
        <v/>
      </c>
      <c r="C35">
        <f>IF(A35="","",INDEX('Trade Log'!E:E,MATCH(A35,'Trade Log'!I:I,0)))</f>
        <v/>
      </c>
      <c r="D35">
        <f>IF(A35="","",MINIFS('Trade Log'!B:B,'Trade Log'!I:I,A35,'Trade Log'!F:F,"BUY"))</f>
        <v/>
      </c>
      <c r="E35">
        <f>IF(A35="","",MAXIFS('Trade Log'!B:B,'Trade Log'!I:I,A35,'Trade Log'!F:F,"SELL"))</f>
        <v/>
      </c>
      <c r="F35" s="3">
        <f>IF(A35="","",MIN(SUMIFS('Trade Log'!G:G,'Trade Log'!I:I,A35,'Trade Log'!F:F,"BUY"),SUMIFS('Trade Log'!G:G,'Trade Log'!I:I,A35,'Trade Log'!F:F,"SELL")))</f>
        <v/>
      </c>
      <c r="G35" s="3">
        <f>IF(A35="","",SUMIFS('Trade Log'!K:K,'Trade Log'!I:I,A35,'Trade Log'!F:F,"BUY")/SUMIFS('Trade Log'!G:G,'Trade Log'!I:I,A35,'Trade Log'!F:F,"BUY"))</f>
        <v/>
      </c>
      <c r="H35" s="3">
        <f>IF(A35="","",SUMIFS('Trade Log'!K:K,'Trade Log'!I:I,A35,'Trade Log'!F:F,"SELL")/SUMIFS('Trade Log'!G:G,'Trade Log'!I:I,A35,'Trade Log'!F:F,"SELL"))</f>
        <v/>
      </c>
      <c r="I35" s="3">
        <f>IF(A35="","",(H35-G35)*F35)</f>
        <v/>
      </c>
      <c r="J35" s="3">
        <f>IF(A35="","",SUMIFS('Trade Log'!R:R,'Trade Log'!I:I,A35))</f>
        <v/>
      </c>
      <c r="K35" s="3">
        <f>IF(A35="","",I35-J35)</f>
        <v/>
      </c>
      <c r="L35" s="4">
        <f>IF(A35="","",IF(G35*F35=0,"",K35/(G35*F35)))</f>
        <v/>
      </c>
      <c r="M35">
        <f>IF(A35="","",E35-D35)</f>
        <v/>
      </c>
    </row>
    <row r="36">
      <c r="B36">
        <f>IF(A36="","",INDEX('Trade Log'!C:C,MATCH(A36,'Trade Log'!I:I,0)))</f>
        <v/>
      </c>
      <c r="C36">
        <f>IF(A36="","",INDEX('Trade Log'!E:E,MATCH(A36,'Trade Log'!I:I,0)))</f>
        <v/>
      </c>
      <c r="D36">
        <f>IF(A36="","",MINIFS('Trade Log'!B:B,'Trade Log'!I:I,A36,'Trade Log'!F:F,"BUY"))</f>
        <v/>
      </c>
      <c r="E36">
        <f>IF(A36="","",MAXIFS('Trade Log'!B:B,'Trade Log'!I:I,A36,'Trade Log'!F:F,"SELL"))</f>
        <v/>
      </c>
      <c r="F36" s="3">
        <f>IF(A36="","",MIN(SUMIFS('Trade Log'!G:G,'Trade Log'!I:I,A36,'Trade Log'!F:F,"BUY"),SUMIFS('Trade Log'!G:G,'Trade Log'!I:I,A36,'Trade Log'!F:F,"SELL")))</f>
        <v/>
      </c>
      <c r="G36" s="3">
        <f>IF(A36="","",SUMIFS('Trade Log'!K:K,'Trade Log'!I:I,A36,'Trade Log'!F:F,"BUY")/SUMIFS('Trade Log'!G:G,'Trade Log'!I:I,A36,'Trade Log'!F:F,"BUY"))</f>
        <v/>
      </c>
      <c r="H36" s="3">
        <f>IF(A36="","",SUMIFS('Trade Log'!K:K,'Trade Log'!I:I,A36,'Trade Log'!F:F,"SELL")/SUMIFS('Trade Log'!G:G,'Trade Log'!I:I,A36,'Trade Log'!F:F,"SELL"))</f>
        <v/>
      </c>
      <c r="I36" s="3">
        <f>IF(A36="","",(H36-G36)*F36)</f>
        <v/>
      </c>
      <c r="J36" s="3">
        <f>IF(A36="","",SUMIFS('Trade Log'!R:R,'Trade Log'!I:I,A36))</f>
        <v/>
      </c>
      <c r="K36" s="3">
        <f>IF(A36="","",I36-J36)</f>
        <v/>
      </c>
      <c r="L36" s="4">
        <f>IF(A36="","",IF(G36*F36=0,"",K36/(G36*F36)))</f>
        <v/>
      </c>
      <c r="M36">
        <f>IF(A36="","",E36-D36)</f>
        <v/>
      </c>
    </row>
    <row r="37">
      <c r="B37">
        <f>IF(A37="","",INDEX('Trade Log'!C:C,MATCH(A37,'Trade Log'!I:I,0)))</f>
        <v/>
      </c>
      <c r="C37">
        <f>IF(A37="","",INDEX('Trade Log'!E:E,MATCH(A37,'Trade Log'!I:I,0)))</f>
        <v/>
      </c>
      <c r="D37">
        <f>IF(A37="","",MINIFS('Trade Log'!B:B,'Trade Log'!I:I,A37,'Trade Log'!F:F,"BUY"))</f>
        <v/>
      </c>
      <c r="E37">
        <f>IF(A37="","",MAXIFS('Trade Log'!B:B,'Trade Log'!I:I,A37,'Trade Log'!F:F,"SELL"))</f>
        <v/>
      </c>
      <c r="F37" s="3">
        <f>IF(A37="","",MIN(SUMIFS('Trade Log'!G:G,'Trade Log'!I:I,A37,'Trade Log'!F:F,"BUY"),SUMIFS('Trade Log'!G:G,'Trade Log'!I:I,A37,'Trade Log'!F:F,"SELL")))</f>
        <v/>
      </c>
      <c r="G37" s="3">
        <f>IF(A37="","",SUMIFS('Trade Log'!K:K,'Trade Log'!I:I,A37,'Trade Log'!F:F,"BUY")/SUMIFS('Trade Log'!G:G,'Trade Log'!I:I,A37,'Trade Log'!F:F,"BUY"))</f>
        <v/>
      </c>
      <c r="H37" s="3">
        <f>IF(A37="","",SUMIFS('Trade Log'!K:K,'Trade Log'!I:I,A37,'Trade Log'!F:F,"SELL")/SUMIFS('Trade Log'!G:G,'Trade Log'!I:I,A37,'Trade Log'!F:F,"SELL"))</f>
        <v/>
      </c>
      <c r="I37" s="3">
        <f>IF(A37="","",(H37-G37)*F37)</f>
        <v/>
      </c>
      <c r="J37" s="3">
        <f>IF(A37="","",SUMIFS('Trade Log'!R:R,'Trade Log'!I:I,A37))</f>
        <v/>
      </c>
      <c r="K37" s="3">
        <f>IF(A37="","",I37-J37)</f>
        <v/>
      </c>
      <c r="L37" s="4">
        <f>IF(A37="","",IF(G37*F37=0,"",K37/(G37*F37)))</f>
        <v/>
      </c>
      <c r="M37">
        <f>IF(A37="","",E37-D37)</f>
        <v/>
      </c>
    </row>
    <row r="38">
      <c r="B38">
        <f>IF(A38="","",INDEX('Trade Log'!C:C,MATCH(A38,'Trade Log'!I:I,0)))</f>
        <v/>
      </c>
      <c r="C38">
        <f>IF(A38="","",INDEX('Trade Log'!E:E,MATCH(A38,'Trade Log'!I:I,0)))</f>
        <v/>
      </c>
      <c r="D38">
        <f>IF(A38="","",MINIFS('Trade Log'!B:B,'Trade Log'!I:I,A38,'Trade Log'!F:F,"BUY"))</f>
        <v/>
      </c>
      <c r="E38">
        <f>IF(A38="","",MAXIFS('Trade Log'!B:B,'Trade Log'!I:I,A38,'Trade Log'!F:F,"SELL"))</f>
        <v/>
      </c>
      <c r="F38" s="3">
        <f>IF(A38="","",MIN(SUMIFS('Trade Log'!G:G,'Trade Log'!I:I,A38,'Trade Log'!F:F,"BUY"),SUMIFS('Trade Log'!G:G,'Trade Log'!I:I,A38,'Trade Log'!F:F,"SELL")))</f>
        <v/>
      </c>
      <c r="G38" s="3">
        <f>IF(A38="","",SUMIFS('Trade Log'!K:K,'Trade Log'!I:I,A38,'Trade Log'!F:F,"BUY")/SUMIFS('Trade Log'!G:G,'Trade Log'!I:I,A38,'Trade Log'!F:F,"BUY"))</f>
        <v/>
      </c>
      <c r="H38" s="3">
        <f>IF(A38="","",SUMIFS('Trade Log'!K:K,'Trade Log'!I:I,A38,'Trade Log'!F:F,"SELL")/SUMIFS('Trade Log'!G:G,'Trade Log'!I:I,A38,'Trade Log'!F:F,"SELL"))</f>
        <v/>
      </c>
      <c r="I38" s="3">
        <f>IF(A38="","",(H38-G38)*F38)</f>
        <v/>
      </c>
      <c r="J38" s="3">
        <f>IF(A38="","",SUMIFS('Trade Log'!R:R,'Trade Log'!I:I,A38))</f>
        <v/>
      </c>
      <c r="K38" s="3">
        <f>IF(A38="","",I38-J38)</f>
        <v/>
      </c>
      <c r="L38" s="4">
        <f>IF(A38="","",IF(G38*F38=0,"",K38/(G38*F38)))</f>
        <v/>
      </c>
      <c r="M38">
        <f>IF(A38="","",E38-D38)</f>
        <v/>
      </c>
    </row>
    <row r="39">
      <c r="B39">
        <f>IF(A39="","",INDEX('Trade Log'!C:C,MATCH(A39,'Trade Log'!I:I,0)))</f>
        <v/>
      </c>
      <c r="C39">
        <f>IF(A39="","",INDEX('Trade Log'!E:E,MATCH(A39,'Trade Log'!I:I,0)))</f>
        <v/>
      </c>
      <c r="D39">
        <f>IF(A39="","",MINIFS('Trade Log'!B:B,'Trade Log'!I:I,A39,'Trade Log'!F:F,"BUY"))</f>
        <v/>
      </c>
      <c r="E39">
        <f>IF(A39="","",MAXIFS('Trade Log'!B:B,'Trade Log'!I:I,A39,'Trade Log'!F:F,"SELL"))</f>
        <v/>
      </c>
      <c r="F39" s="3">
        <f>IF(A39="","",MIN(SUMIFS('Trade Log'!G:G,'Trade Log'!I:I,A39,'Trade Log'!F:F,"BUY"),SUMIFS('Trade Log'!G:G,'Trade Log'!I:I,A39,'Trade Log'!F:F,"SELL")))</f>
        <v/>
      </c>
      <c r="G39" s="3">
        <f>IF(A39="","",SUMIFS('Trade Log'!K:K,'Trade Log'!I:I,A39,'Trade Log'!F:F,"BUY")/SUMIFS('Trade Log'!G:G,'Trade Log'!I:I,A39,'Trade Log'!F:F,"BUY"))</f>
        <v/>
      </c>
      <c r="H39" s="3">
        <f>IF(A39="","",SUMIFS('Trade Log'!K:K,'Trade Log'!I:I,A39,'Trade Log'!F:F,"SELL")/SUMIFS('Trade Log'!G:G,'Trade Log'!I:I,A39,'Trade Log'!F:F,"SELL"))</f>
        <v/>
      </c>
      <c r="I39" s="3">
        <f>IF(A39="","",(H39-G39)*F39)</f>
        <v/>
      </c>
      <c r="J39" s="3">
        <f>IF(A39="","",SUMIFS('Trade Log'!R:R,'Trade Log'!I:I,A39))</f>
        <v/>
      </c>
      <c r="K39" s="3">
        <f>IF(A39="","",I39-J39)</f>
        <v/>
      </c>
      <c r="L39" s="4">
        <f>IF(A39="","",IF(G39*F39=0,"",K39/(G39*F39)))</f>
        <v/>
      </c>
      <c r="M39">
        <f>IF(A39="","",E39-D39)</f>
        <v/>
      </c>
    </row>
    <row r="40">
      <c r="B40">
        <f>IF(A40="","",INDEX('Trade Log'!C:C,MATCH(A40,'Trade Log'!I:I,0)))</f>
        <v/>
      </c>
      <c r="C40">
        <f>IF(A40="","",INDEX('Trade Log'!E:E,MATCH(A40,'Trade Log'!I:I,0)))</f>
        <v/>
      </c>
      <c r="D40">
        <f>IF(A40="","",MINIFS('Trade Log'!B:B,'Trade Log'!I:I,A40,'Trade Log'!F:F,"BUY"))</f>
        <v/>
      </c>
      <c r="E40">
        <f>IF(A40="","",MAXIFS('Trade Log'!B:B,'Trade Log'!I:I,A40,'Trade Log'!F:F,"SELL"))</f>
        <v/>
      </c>
      <c r="F40" s="3">
        <f>IF(A40="","",MIN(SUMIFS('Trade Log'!G:G,'Trade Log'!I:I,A40,'Trade Log'!F:F,"BUY"),SUMIFS('Trade Log'!G:G,'Trade Log'!I:I,A40,'Trade Log'!F:F,"SELL")))</f>
        <v/>
      </c>
      <c r="G40" s="3">
        <f>IF(A40="","",SUMIFS('Trade Log'!K:K,'Trade Log'!I:I,A40,'Trade Log'!F:F,"BUY")/SUMIFS('Trade Log'!G:G,'Trade Log'!I:I,A40,'Trade Log'!F:F,"BUY"))</f>
        <v/>
      </c>
      <c r="H40" s="3">
        <f>IF(A40="","",SUMIFS('Trade Log'!K:K,'Trade Log'!I:I,A40,'Trade Log'!F:F,"SELL")/SUMIFS('Trade Log'!G:G,'Trade Log'!I:I,A40,'Trade Log'!F:F,"SELL"))</f>
        <v/>
      </c>
      <c r="I40" s="3">
        <f>IF(A40="","",(H40-G40)*F40)</f>
        <v/>
      </c>
      <c r="J40" s="3">
        <f>IF(A40="","",SUMIFS('Trade Log'!R:R,'Trade Log'!I:I,A40))</f>
        <v/>
      </c>
      <c r="K40" s="3">
        <f>IF(A40="","",I40-J40)</f>
        <v/>
      </c>
      <c r="L40" s="4">
        <f>IF(A40="","",IF(G40*F40=0,"",K40/(G40*F40)))</f>
        <v/>
      </c>
      <c r="M40">
        <f>IF(A40="","",E40-D40)</f>
        <v/>
      </c>
    </row>
    <row r="41">
      <c r="B41">
        <f>IF(A41="","",INDEX('Trade Log'!C:C,MATCH(A41,'Trade Log'!I:I,0)))</f>
        <v/>
      </c>
      <c r="C41">
        <f>IF(A41="","",INDEX('Trade Log'!E:E,MATCH(A41,'Trade Log'!I:I,0)))</f>
        <v/>
      </c>
      <c r="D41">
        <f>IF(A41="","",MINIFS('Trade Log'!B:B,'Trade Log'!I:I,A41,'Trade Log'!F:F,"BUY"))</f>
        <v/>
      </c>
      <c r="E41">
        <f>IF(A41="","",MAXIFS('Trade Log'!B:B,'Trade Log'!I:I,A41,'Trade Log'!F:F,"SELL"))</f>
        <v/>
      </c>
      <c r="F41" s="3">
        <f>IF(A41="","",MIN(SUMIFS('Trade Log'!G:G,'Trade Log'!I:I,A41,'Trade Log'!F:F,"BUY"),SUMIFS('Trade Log'!G:G,'Trade Log'!I:I,A41,'Trade Log'!F:F,"SELL")))</f>
        <v/>
      </c>
      <c r="G41" s="3">
        <f>IF(A41="","",SUMIFS('Trade Log'!K:K,'Trade Log'!I:I,A41,'Trade Log'!F:F,"BUY")/SUMIFS('Trade Log'!G:G,'Trade Log'!I:I,A41,'Trade Log'!F:F,"BUY"))</f>
        <v/>
      </c>
      <c r="H41" s="3">
        <f>IF(A41="","",SUMIFS('Trade Log'!K:K,'Trade Log'!I:I,A41,'Trade Log'!F:F,"SELL")/SUMIFS('Trade Log'!G:G,'Trade Log'!I:I,A41,'Trade Log'!F:F,"SELL"))</f>
        <v/>
      </c>
      <c r="I41" s="3">
        <f>IF(A41="","",(H41-G41)*F41)</f>
        <v/>
      </c>
      <c r="J41" s="3">
        <f>IF(A41="","",SUMIFS('Trade Log'!R:R,'Trade Log'!I:I,A41))</f>
        <v/>
      </c>
      <c r="K41" s="3">
        <f>IF(A41="","",I41-J41)</f>
        <v/>
      </c>
      <c r="L41" s="4">
        <f>IF(A41="","",IF(G41*F41=0,"",K41/(G41*F41)))</f>
        <v/>
      </c>
      <c r="M41">
        <f>IF(A41="","",E41-D41)</f>
        <v/>
      </c>
    </row>
    <row r="42">
      <c r="B42">
        <f>IF(A42="","",INDEX('Trade Log'!C:C,MATCH(A42,'Trade Log'!I:I,0)))</f>
        <v/>
      </c>
      <c r="C42">
        <f>IF(A42="","",INDEX('Trade Log'!E:E,MATCH(A42,'Trade Log'!I:I,0)))</f>
        <v/>
      </c>
      <c r="D42">
        <f>IF(A42="","",MINIFS('Trade Log'!B:B,'Trade Log'!I:I,A42,'Trade Log'!F:F,"BUY"))</f>
        <v/>
      </c>
      <c r="E42">
        <f>IF(A42="","",MAXIFS('Trade Log'!B:B,'Trade Log'!I:I,A42,'Trade Log'!F:F,"SELL"))</f>
        <v/>
      </c>
      <c r="F42" s="3">
        <f>IF(A42="","",MIN(SUMIFS('Trade Log'!G:G,'Trade Log'!I:I,A42,'Trade Log'!F:F,"BUY"),SUMIFS('Trade Log'!G:G,'Trade Log'!I:I,A42,'Trade Log'!F:F,"SELL")))</f>
        <v/>
      </c>
      <c r="G42" s="3">
        <f>IF(A42="","",SUMIFS('Trade Log'!K:K,'Trade Log'!I:I,A42,'Trade Log'!F:F,"BUY")/SUMIFS('Trade Log'!G:G,'Trade Log'!I:I,A42,'Trade Log'!F:F,"BUY"))</f>
        <v/>
      </c>
      <c r="H42" s="3">
        <f>IF(A42="","",SUMIFS('Trade Log'!K:K,'Trade Log'!I:I,A42,'Trade Log'!F:F,"SELL")/SUMIFS('Trade Log'!G:G,'Trade Log'!I:I,A42,'Trade Log'!F:F,"SELL"))</f>
        <v/>
      </c>
      <c r="I42" s="3">
        <f>IF(A42="","",(H42-G42)*F42)</f>
        <v/>
      </c>
      <c r="J42" s="3">
        <f>IF(A42="","",SUMIFS('Trade Log'!R:R,'Trade Log'!I:I,A42))</f>
        <v/>
      </c>
      <c r="K42" s="3">
        <f>IF(A42="","",I42-J42)</f>
        <v/>
      </c>
      <c r="L42" s="4">
        <f>IF(A42="","",IF(G42*F42=0,"",K42/(G42*F42)))</f>
        <v/>
      </c>
      <c r="M42">
        <f>IF(A42="","",E42-D42)</f>
        <v/>
      </c>
    </row>
    <row r="43">
      <c r="B43">
        <f>IF(A43="","",INDEX('Trade Log'!C:C,MATCH(A43,'Trade Log'!I:I,0)))</f>
        <v/>
      </c>
      <c r="C43">
        <f>IF(A43="","",INDEX('Trade Log'!E:E,MATCH(A43,'Trade Log'!I:I,0)))</f>
        <v/>
      </c>
      <c r="D43">
        <f>IF(A43="","",MINIFS('Trade Log'!B:B,'Trade Log'!I:I,A43,'Trade Log'!F:F,"BUY"))</f>
        <v/>
      </c>
      <c r="E43">
        <f>IF(A43="","",MAXIFS('Trade Log'!B:B,'Trade Log'!I:I,A43,'Trade Log'!F:F,"SELL"))</f>
        <v/>
      </c>
      <c r="F43" s="3">
        <f>IF(A43="","",MIN(SUMIFS('Trade Log'!G:G,'Trade Log'!I:I,A43,'Trade Log'!F:F,"BUY"),SUMIFS('Trade Log'!G:G,'Trade Log'!I:I,A43,'Trade Log'!F:F,"SELL")))</f>
        <v/>
      </c>
      <c r="G43" s="3">
        <f>IF(A43="","",SUMIFS('Trade Log'!K:K,'Trade Log'!I:I,A43,'Trade Log'!F:F,"BUY")/SUMIFS('Trade Log'!G:G,'Trade Log'!I:I,A43,'Trade Log'!F:F,"BUY"))</f>
        <v/>
      </c>
      <c r="H43" s="3">
        <f>IF(A43="","",SUMIFS('Trade Log'!K:K,'Trade Log'!I:I,A43,'Trade Log'!F:F,"SELL")/SUMIFS('Trade Log'!G:G,'Trade Log'!I:I,A43,'Trade Log'!F:F,"SELL"))</f>
        <v/>
      </c>
      <c r="I43" s="3">
        <f>IF(A43="","",(H43-G43)*F43)</f>
        <v/>
      </c>
      <c r="J43" s="3">
        <f>IF(A43="","",SUMIFS('Trade Log'!R:R,'Trade Log'!I:I,A43))</f>
        <v/>
      </c>
      <c r="K43" s="3">
        <f>IF(A43="","",I43-J43)</f>
        <v/>
      </c>
      <c r="L43" s="4">
        <f>IF(A43="","",IF(G43*F43=0,"",K43/(G43*F43)))</f>
        <v/>
      </c>
      <c r="M43">
        <f>IF(A43="","",E43-D43)</f>
        <v/>
      </c>
    </row>
    <row r="44">
      <c r="B44">
        <f>IF(A44="","",INDEX('Trade Log'!C:C,MATCH(A44,'Trade Log'!I:I,0)))</f>
        <v/>
      </c>
      <c r="C44">
        <f>IF(A44="","",INDEX('Trade Log'!E:E,MATCH(A44,'Trade Log'!I:I,0)))</f>
        <v/>
      </c>
      <c r="D44">
        <f>IF(A44="","",MINIFS('Trade Log'!B:B,'Trade Log'!I:I,A44,'Trade Log'!F:F,"BUY"))</f>
        <v/>
      </c>
      <c r="E44">
        <f>IF(A44="","",MAXIFS('Trade Log'!B:B,'Trade Log'!I:I,A44,'Trade Log'!F:F,"SELL"))</f>
        <v/>
      </c>
      <c r="F44" s="3">
        <f>IF(A44="","",MIN(SUMIFS('Trade Log'!G:G,'Trade Log'!I:I,A44,'Trade Log'!F:F,"BUY"),SUMIFS('Trade Log'!G:G,'Trade Log'!I:I,A44,'Trade Log'!F:F,"SELL")))</f>
        <v/>
      </c>
      <c r="G44" s="3">
        <f>IF(A44="","",SUMIFS('Trade Log'!K:K,'Trade Log'!I:I,A44,'Trade Log'!F:F,"BUY")/SUMIFS('Trade Log'!G:G,'Trade Log'!I:I,A44,'Trade Log'!F:F,"BUY"))</f>
        <v/>
      </c>
      <c r="H44" s="3">
        <f>IF(A44="","",SUMIFS('Trade Log'!K:K,'Trade Log'!I:I,A44,'Trade Log'!F:F,"SELL")/SUMIFS('Trade Log'!G:G,'Trade Log'!I:I,A44,'Trade Log'!F:F,"SELL"))</f>
        <v/>
      </c>
      <c r="I44" s="3">
        <f>IF(A44="","",(H44-G44)*F44)</f>
        <v/>
      </c>
      <c r="J44" s="3">
        <f>IF(A44="","",SUMIFS('Trade Log'!R:R,'Trade Log'!I:I,A44))</f>
        <v/>
      </c>
      <c r="K44" s="3">
        <f>IF(A44="","",I44-J44)</f>
        <v/>
      </c>
      <c r="L44" s="4">
        <f>IF(A44="","",IF(G44*F44=0,"",K44/(G44*F44)))</f>
        <v/>
      </c>
      <c r="M44">
        <f>IF(A44="","",E44-D44)</f>
        <v/>
      </c>
    </row>
    <row r="45">
      <c r="B45">
        <f>IF(A45="","",INDEX('Trade Log'!C:C,MATCH(A45,'Trade Log'!I:I,0)))</f>
        <v/>
      </c>
      <c r="C45">
        <f>IF(A45="","",INDEX('Trade Log'!E:E,MATCH(A45,'Trade Log'!I:I,0)))</f>
        <v/>
      </c>
      <c r="D45">
        <f>IF(A45="","",MINIFS('Trade Log'!B:B,'Trade Log'!I:I,A45,'Trade Log'!F:F,"BUY"))</f>
        <v/>
      </c>
      <c r="E45">
        <f>IF(A45="","",MAXIFS('Trade Log'!B:B,'Trade Log'!I:I,A45,'Trade Log'!F:F,"SELL"))</f>
        <v/>
      </c>
      <c r="F45" s="3">
        <f>IF(A45="","",MIN(SUMIFS('Trade Log'!G:G,'Trade Log'!I:I,A45,'Trade Log'!F:F,"BUY"),SUMIFS('Trade Log'!G:G,'Trade Log'!I:I,A45,'Trade Log'!F:F,"SELL")))</f>
        <v/>
      </c>
      <c r="G45" s="3">
        <f>IF(A45="","",SUMIFS('Trade Log'!K:K,'Trade Log'!I:I,A45,'Trade Log'!F:F,"BUY")/SUMIFS('Trade Log'!G:G,'Trade Log'!I:I,A45,'Trade Log'!F:F,"BUY"))</f>
        <v/>
      </c>
      <c r="H45" s="3">
        <f>IF(A45="","",SUMIFS('Trade Log'!K:K,'Trade Log'!I:I,A45,'Trade Log'!F:F,"SELL")/SUMIFS('Trade Log'!G:G,'Trade Log'!I:I,A45,'Trade Log'!F:F,"SELL"))</f>
        <v/>
      </c>
      <c r="I45" s="3">
        <f>IF(A45="","",(H45-G45)*F45)</f>
        <v/>
      </c>
      <c r="J45" s="3">
        <f>IF(A45="","",SUMIFS('Trade Log'!R:R,'Trade Log'!I:I,A45))</f>
        <v/>
      </c>
      <c r="K45" s="3">
        <f>IF(A45="","",I45-J45)</f>
        <v/>
      </c>
      <c r="L45" s="4">
        <f>IF(A45="","",IF(G45*F45=0,"",K45/(G45*F45)))</f>
        <v/>
      </c>
      <c r="M45">
        <f>IF(A45="","",E45-D45)</f>
        <v/>
      </c>
    </row>
    <row r="46">
      <c r="B46">
        <f>IF(A46="","",INDEX('Trade Log'!C:C,MATCH(A46,'Trade Log'!I:I,0)))</f>
        <v/>
      </c>
      <c r="C46">
        <f>IF(A46="","",INDEX('Trade Log'!E:E,MATCH(A46,'Trade Log'!I:I,0)))</f>
        <v/>
      </c>
      <c r="D46">
        <f>IF(A46="","",MINIFS('Trade Log'!B:B,'Trade Log'!I:I,A46,'Trade Log'!F:F,"BUY"))</f>
        <v/>
      </c>
      <c r="E46">
        <f>IF(A46="","",MAXIFS('Trade Log'!B:B,'Trade Log'!I:I,A46,'Trade Log'!F:F,"SELL"))</f>
        <v/>
      </c>
      <c r="F46" s="3">
        <f>IF(A46="","",MIN(SUMIFS('Trade Log'!G:G,'Trade Log'!I:I,A46,'Trade Log'!F:F,"BUY"),SUMIFS('Trade Log'!G:G,'Trade Log'!I:I,A46,'Trade Log'!F:F,"SELL")))</f>
        <v/>
      </c>
      <c r="G46" s="3">
        <f>IF(A46="","",SUMIFS('Trade Log'!K:K,'Trade Log'!I:I,A46,'Trade Log'!F:F,"BUY")/SUMIFS('Trade Log'!G:G,'Trade Log'!I:I,A46,'Trade Log'!F:F,"BUY"))</f>
        <v/>
      </c>
      <c r="H46" s="3">
        <f>IF(A46="","",SUMIFS('Trade Log'!K:K,'Trade Log'!I:I,A46,'Trade Log'!F:F,"SELL")/SUMIFS('Trade Log'!G:G,'Trade Log'!I:I,A46,'Trade Log'!F:F,"SELL"))</f>
        <v/>
      </c>
      <c r="I46" s="3">
        <f>IF(A46="","",(H46-G46)*F46)</f>
        <v/>
      </c>
      <c r="J46" s="3">
        <f>IF(A46="","",SUMIFS('Trade Log'!R:R,'Trade Log'!I:I,A46))</f>
        <v/>
      </c>
      <c r="K46" s="3">
        <f>IF(A46="","",I46-J46)</f>
        <v/>
      </c>
      <c r="L46" s="4">
        <f>IF(A46="","",IF(G46*F46=0,"",K46/(G46*F46)))</f>
        <v/>
      </c>
      <c r="M46">
        <f>IF(A46="","",E46-D46)</f>
        <v/>
      </c>
    </row>
    <row r="47">
      <c r="B47">
        <f>IF(A47="","",INDEX('Trade Log'!C:C,MATCH(A47,'Trade Log'!I:I,0)))</f>
        <v/>
      </c>
      <c r="C47">
        <f>IF(A47="","",INDEX('Trade Log'!E:E,MATCH(A47,'Trade Log'!I:I,0)))</f>
        <v/>
      </c>
      <c r="D47">
        <f>IF(A47="","",MINIFS('Trade Log'!B:B,'Trade Log'!I:I,A47,'Trade Log'!F:F,"BUY"))</f>
        <v/>
      </c>
      <c r="E47">
        <f>IF(A47="","",MAXIFS('Trade Log'!B:B,'Trade Log'!I:I,A47,'Trade Log'!F:F,"SELL"))</f>
        <v/>
      </c>
      <c r="F47" s="3">
        <f>IF(A47="","",MIN(SUMIFS('Trade Log'!G:G,'Trade Log'!I:I,A47,'Trade Log'!F:F,"BUY"),SUMIFS('Trade Log'!G:G,'Trade Log'!I:I,A47,'Trade Log'!F:F,"SELL")))</f>
        <v/>
      </c>
      <c r="G47" s="3">
        <f>IF(A47="","",SUMIFS('Trade Log'!K:K,'Trade Log'!I:I,A47,'Trade Log'!F:F,"BUY")/SUMIFS('Trade Log'!G:G,'Trade Log'!I:I,A47,'Trade Log'!F:F,"BUY"))</f>
        <v/>
      </c>
      <c r="H47" s="3">
        <f>IF(A47="","",SUMIFS('Trade Log'!K:K,'Trade Log'!I:I,A47,'Trade Log'!F:F,"SELL")/SUMIFS('Trade Log'!G:G,'Trade Log'!I:I,A47,'Trade Log'!F:F,"SELL"))</f>
        <v/>
      </c>
      <c r="I47" s="3">
        <f>IF(A47="","",(H47-G47)*F47)</f>
        <v/>
      </c>
      <c r="J47" s="3">
        <f>IF(A47="","",SUMIFS('Trade Log'!R:R,'Trade Log'!I:I,A47))</f>
        <v/>
      </c>
      <c r="K47" s="3">
        <f>IF(A47="","",I47-J47)</f>
        <v/>
      </c>
      <c r="L47" s="4">
        <f>IF(A47="","",IF(G47*F47=0,"",K47/(G47*F47)))</f>
        <v/>
      </c>
      <c r="M47">
        <f>IF(A47="","",E47-D47)</f>
        <v/>
      </c>
    </row>
    <row r="48">
      <c r="B48">
        <f>IF(A48="","",INDEX('Trade Log'!C:C,MATCH(A48,'Trade Log'!I:I,0)))</f>
        <v/>
      </c>
      <c r="C48">
        <f>IF(A48="","",INDEX('Trade Log'!E:E,MATCH(A48,'Trade Log'!I:I,0)))</f>
        <v/>
      </c>
      <c r="D48">
        <f>IF(A48="","",MINIFS('Trade Log'!B:B,'Trade Log'!I:I,A48,'Trade Log'!F:F,"BUY"))</f>
        <v/>
      </c>
      <c r="E48">
        <f>IF(A48="","",MAXIFS('Trade Log'!B:B,'Trade Log'!I:I,A48,'Trade Log'!F:F,"SELL"))</f>
        <v/>
      </c>
      <c r="F48" s="3">
        <f>IF(A48="","",MIN(SUMIFS('Trade Log'!G:G,'Trade Log'!I:I,A48,'Trade Log'!F:F,"BUY"),SUMIFS('Trade Log'!G:G,'Trade Log'!I:I,A48,'Trade Log'!F:F,"SELL")))</f>
        <v/>
      </c>
      <c r="G48" s="3">
        <f>IF(A48="","",SUMIFS('Trade Log'!K:K,'Trade Log'!I:I,A48,'Trade Log'!F:F,"BUY")/SUMIFS('Trade Log'!G:G,'Trade Log'!I:I,A48,'Trade Log'!F:F,"BUY"))</f>
        <v/>
      </c>
      <c r="H48" s="3">
        <f>IF(A48="","",SUMIFS('Trade Log'!K:K,'Trade Log'!I:I,A48,'Trade Log'!F:F,"SELL")/SUMIFS('Trade Log'!G:G,'Trade Log'!I:I,A48,'Trade Log'!F:F,"SELL"))</f>
        <v/>
      </c>
      <c r="I48" s="3">
        <f>IF(A48="","",(H48-G48)*F48)</f>
        <v/>
      </c>
      <c r="J48" s="3">
        <f>IF(A48="","",SUMIFS('Trade Log'!R:R,'Trade Log'!I:I,A48))</f>
        <v/>
      </c>
      <c r="K48" s="3">
        <f>IF(A48="","",I48-J48)</f>
        <v/>
      </c>
      <c r="L48" s="4">
        <f>IF(A48="","",IF(G48*F48=0,"",K48/(G48*F48)))</f>
        <v/>
      </c>
      <c r="M48">
        <f>IF(A48="","",E48-D48)</f>
        <v/>
      </c>
    </row>
    <row r="49">
      <c r="B49">
        <f>IF(A49="","",INDEX('Trade Log'!C:C,MATCH(A49,'Trade Log'!I:I,0)))</f>
        <v/>
      </c>
      <c r="C49">
        <f>IF(A49="","",INDEX('Trade Log'!E:E,MATCH(A49,'Trade Log'!I:I,0)))</f>
        <v/>
      </c>
      <c r="D49">
        <f>IF(A49="","",MINIFS('Trade Log'!B:B,'Trade Log'!I:I,A49,'Trade Log'!F:F,"BUY"))</f>
        <v/>
      </c>
      <c r="E49">
        <f>IF(A49="","",MAXIFS('Trade Log'!B:B,'Trade Log'!I:I,A49,'Trade Log'!F:F,"SELL"))</f>
        <v/>
      </c>
      <c r="F49" s="3">
        <f>IF(A49="","",MIN(SUMIFS('Trade Log'!G:G,'Trade Log'!I:I,A49,'Trade Log'!F:F,"BUY"),SUMIFS('Trade Log'!G:G,'Trade Log'!I:I,A49,'Trade Log'!F:F,"SELL")))</f>
        <v/>
      </c>
      <c r="G49" s="3">
        <f>IF(A49="","",SUMIFS('Trade Log'!K:K,'Trade Log'!I:I,A49,'Trade Log'!F:F,"BUY")/SUMIFS('Trade Log'!G:G,'Trade Log'!I:I,A49,'Trade Log'!F:F,"BUY"))</f>
        <v/>
      </c>
      <c r="H49" s="3">
        <f>IF(A49="","",SUMIFS('Trade Log'!K:K,'Trade Log'!I:I,A49,'Trade Log'!F:F,"SELL")/SUMIFS('Trade Log'!G:G,'Trade Log'!I:I,A49,'Trade Log'!F:F,"SELL"))</f>
        <v/>
      </c>
      <c r="I49" s="3">
        <f>IF(A49="","",(H49-G49)*F49)</f>
        <v/>
      </c>
      <c r="J49" s="3">
        <f>IF(A49="","",SUMIFS('Trade Log'!R:R,'Trade Log'!I:I,A49))</f>
        <v/>
      </c>
      <c r="K49" s="3">
        <f>IF(A49="","",I49-J49)</f>
        <v/>
      </c>
      <c r="L49" s="4">
        <f>IF(A49="","",IF(G49*F49=0,"",K49/(G49*F49)))</f>
        <v/>
      </c>
      <c r="M49">
        <f>IF(A49="","",E49-D49)</f>
        <v/>
      </c>
    </row>
    <row r="50">
      <c r="B50">
        <f>IF(A50="","",INDEX('Trade Log'!C:C,MATCH(A50,'Trade Log'!I:I,0)))</f>
        <v/>
      </c>
      <c r="C50">
        <f>IF(A50="","",INDEX('Trade Log'!E:E,MATCH(A50,'Trade Log'!I:I,0)))</f>
        <v/>
      </c>
      <c r="D50">
        <f>IF(A50="","",MINIFS('Trade Log'!B:B,'Trade Log'!I:I,A50,'Trade Log'!F:F,"BUY"))</f>
        <v/>
      </c>
      <c r="E50">
        <f>IF(A50="","",MAXIFS('Trade Log'!B:B,'Trade Log'!I:I,A50,'Trade Log'!F:F,"SELL"))</f>
        <v/>
      </c>
      <c r="F50" s="3">
        <f>IF(A50="","",MIN(SUMIFS('Trade Log'!G:G,'Trade Log'!I:I,A50,'Trade Log'!F:F,"BUY"),SUMIFS('Trade Log'!G:G,'Trade Log'!I:I,A50,'Trade Log'!F:F,"SELL")))</f>
        <v/>
      </c>
      <c r="G50" s="3">
        <f>IF(A50="","",SUMIFS('Trade Log'!K:K,'Trade Log'!I:I,A50,'Trade Log'!F:F,"BUY")/SUMIFS('Trade Log'!G:G,'Trade Log'!I:I,A50,'Trade Log'!F:F,"BUY"))</f>
        <v/>
      </c>
      <c r="H50" s="3">
        <f>IF(A50="","",SUMIFS('Trade Log'!K:K,'Trade Log'!I:I,A50,'Trade Log'!F:F,"SELL")/SUMIFS('Trade Log'!G:G,'Trade Log'!I:I,A50,'Trade Log'!F:F,"SELL"))</f>
        <v/>
      </c>
      <c r="I50" s="3">
        <f>IF(A50="","",(H50-G50)*F50)</f>
        <v/>
      </c>
      <c r="J50" s="3">
        <f>IF(A50="","",SUMIFS('Trade Log'!R:R,'Trade Log'!I:I,A50))</f>
        <v/>
      </c>
      <c r="K50" s="3">
        <f>IF(A50="","",I50-J50)</f>
        <v/>
      </c>
      <c r="L50" s="4">
        <f>IF(A50="","",IF(G50*F50=0,"",K50/(G50*F50)))</f>
        <v/>
      </c>
      <c r="M50">
        <f>IF(A50="","",E50-D50)</f>
        <v/>
      </c>
    </row>
    <row r="51">
      <c r="B51">
        <f>IF(A51="","",INDEX('Trade Log'!C:C,MATCH(A51,'Trade Log'!I:I,0)))</f>
        <v/>
      </c>
      <c r="C51">
        <f>IF(A51="","",INDEX('Trade Log'!E:E,MATCH(A51,'Trade Log'!I:I,0)))</f>
        <v/>
      </c>
      <c r="D51">
        <f>IF(A51="","",MINIFS('Trade Log'!B:B,'Trade Log'!I:I,A51,'Trade Log'!F:F,"BUY"))</f>
        <v/>
      </c>
      <c r="E51">
        <f>IF(A51="","",MAXIFS('Trade Log'!B:B,'Trade Log'!I:I,A51,'Trade Log'!F:F,"SELL"))</f>
        <v/>
      </c>
      <c r="F51" s="3">
        <f>IF(A51="","",MIN(SUMIFS('Trade Log'!G:G,'Trade Log'!I:I,A51,'Trade Log'!F:F,"BUY"),SUMIFS('Trade Log'!G:G,'Trade Log'!I:I,A51,'Trade Log'!F:F,"SELL")))</f>
        <v/>
      </c>
      <c r="G51" s="3">
        <f>IF(A51="","",SUMIFS('Trade Log'!K:K,'Trade Log'!I:I,A51,'Trade Log'!F:F,"BUY")/SUMIFS('Trade Log'!G:G,'Trade Log'!I:I,A51,'Trade Log'!F:F,"BUY"))</f>
        <v/>
      </c>
      <c r="H51" s="3">
        <f>IF(A51="","",SUMIFS('Trade Log'!K:K,'Trade Log'!I:I,A51,'Trade Log'!F:F,"SELL")/SUMIFS('Trade Log'!G:G,'Trade Log'!I:I,A51,'Trade Log'!F:F,"SELL"))</f>
        <v/>
      </c>
      <c r="I51" s="3">
        <f>IF(A51="","",(H51-G51)*F51)</f>
        <v/>
      </c>
      <c r="J51" s="3">
        <f>IF(A51="","",SUMIFS('Trade Log'!R:R,'Trade Log'!I:I,A51))</f>
        <v/>
      </c>
      <c r="K51" s="3">
        <f>IF(A51="","",I51-J51)</f>
        <v/>
      </c>
      <c r="L51" s="4">
        <f>IF(A51="","",IF(G51*F51=0,"",K51/(G51*F51)))</f>
        <v/>
      </c>
      <c r="M51">
        <f>IF(A51="","",E51-D51)</f>
        <v/>
      </c>
    </row>
    <row r="52">
      <c r="B52">
        <f>IF(A52="","",INDEX('Trade Log'!C:C,MATCH(A52,'Trade Log'!I:I,0)))</f>
        <v/>
      </c>
      <c r="C52">
        <f>IF(A52="","",INDEX('Trade Log'!E:E,MATCH(A52,'Trade Log'!I:I,0)))</f>
        <v/>
      </c>
      <c r="D52">
        <f>IF(A52="","",MINIFS('Trade Log'!B:B,'Trade Log'!I:I,A52,'Trade Log'!F:F,"BUY"))</f>
        <v/>
      </c>
      <c r="E52">
        <f>IF(A52="","",MAXIFS('Trade Log'!B:B,'Trade Log'!I:I,A52,'Trade Log'!F:F,"SELL"))</f>
        <v/>
      </c>
      <c r="F52" s="3">
        <f>IF(A52="","",MIN(SUMIFS('Trade Log'!G:G,'Trade Log'!I:I,A52,'Trade Log'!F:F,"BUY"),SUMIFS('Trade Log'!G:G,'Trade Log'!I:I,A52,'Trade Log'!F:F,"SELL")))</f>
        <v/>
      </c>
      <c r="G52" s="3">
        <f>IF(A52="","",SUMIFS('Trade Log'!K:K,'Trade Log'!I:I,A52,'Trade Log'!F:F,"BUY")/SUMIFS('Trade Log'!G:G,'Trade Log'!I:I,A52,'Trade Log'!F:F,"BUY"))</f>
        <v/>
      </c>
      <c r="H52" s="3">
        <f>IF(A52="","",SUMIFS('Trade Log'!K:K,'Trade Log'!I:I,A52,'Trade Log'!F:F,"SELL")/SUMIFS('Trade Log'!G:G,'Trade Log'!I:I,A52,'Trade Log'!F:F,"SELL"))</f>
        <v/>
      </c>
      <c r="I52" s="3">
        <f>IF(A52="","",(H52-G52)*F52)</f>
        <v/>
      </c>
      <c r="J52" s="3">
        <f>IF(A52="","",SUMIFS('Trade Log'!R:R,'Trade Log'!I:I,A52))</f>
        <v/>
      </c>
      <c r="K52" s="3">
        <f>IF(A52="","",I52-J52)</f>
        <v/>
      </c>
      <c r="L52" s="4">
        <f>IF(A52="","",IF(G52*F52=0,"",K52/(G52*F52)))</f>
        <v/>
      </c>
      <c r="M52">
        <f>IF(A52="","",E52-D52)</f>
        <v/>
      </c>
    </row>
    <row r="53">
      <c r="B53">
        <f>IF(A53="","",INDEX('Trade Log'!C:C,MATCH(A53,'Trade Log'!I:I,0)))</f>
        <v/>
      </c>
      <c r="C53">
        <f>IF(A53="","",INDEX('Trade Log'!E:E,MATCH(A53,'Trade Log'!I:I,0)))</f>
        <v/>
      </c>
      <c r="D53">
        <f>IF(A53="","",MINIFS('Trade Log'!B:B,'Trade Log'!I:I,A53,'Trade Log'!F:F,"BUY"))</f>
        <v/>
      </c>
      <c r="E53">
        <f>IF(A53="","",MAXIFS('Trade Log'!B:B,'Trade Log'!I:I,A53,'Trade Log'!F:F,"SELL"))</f>
        <v/>
      </c>
      <c r="F53" s="3">
        <f>IF(A53="","",MIN(SUMIFS('Trade Log'!G:G,'Trade Log'!I:I,A53,'Trade Log'!F:F,"BUY"),SUMIFS('Trade Log'!G:G,'Trade Log'!I:I,A53,'Trade Log'!F:F,"SELL")))</f>
        <v/>
      </c>
      <c r="G53" s="3">
        <f>IF(A53="","",SUMIFS('Trade Log'!K:K,'Trade Log'!I:I,A53,'Trade Log'!F:F,"BUY")/SUMIFS('Trade Log'!G:G,'Trade Log'!I:I,A53,'Trade Log'!F:F,"BUY"))</f>
        <v/>
      </c>
      <c r="H53" s="3">
        <f>IF(A53="","",SUMIFS('Trade Log'!K:K,'Trade Log'!I:I,A53,'Trade Log'!F:F,"SELL")/SUMIFS('Trade Log'!G:G,'Trade Log'!I:I,A53,'Trade Log'!F:F,"SELL"))</f>
        <v/>
      </c>
      <c r="I53" s="3">
        <f>IF(A53="","",(H53-G53)*F53)</f>
        <v/>
      </c>
      <c r="J53" s="3">
        <f>IF(A53="","",SUMIFS('Trade Log'!R:R,'Trade Log'!I:I,A53))</f>
        <v/>
      </c>
      <c r="K53" s="3">
        <f>IF(A53="","",I53-J53)</f>
        <v/>
      </c>
      <c r="L53" s="4">
        <f>IF(A53="","",IF(G53*F53=0,"",K53/(G53*F53)))</f>
        <v/>
      </c>
      <c r="M53">
        <f>IF(A53="","",E53-D53)</f>
        <v/>
      </c>
    </row>
    <row r="54">
      <c r="B54">
        <f>IF(A54="","",INDEX('Trade Log'!C:C,MATCH(A54,'Trade Log'!I:I,0)))</f>
        <v/>
      </c>
      <c r="C54">
        <f>IF(A54="","",INDEX('Trade Log'!E:E,MATCH(A54,'Trade Log'!I:I,0)))</f>
        <v/>
      </c>
      <c r="D54">
        <f>IF(A54="","",MINIFS('Trade Log'!B:B,'Trade Log'!I:I,A54,'Trade Log'!F:F,"BUY"))</f>
        <v/>
      </c>
      <c r="E54">
        <f>IF(A54="","",MAXIFS('Trade Log'!B:B,'Trade Log'!I:I,A54,'Trade Log'!F:F,"SELL"))</f>
        <v/>
      </c>
      <c r="F54" s="3">
        <f>IF(A54="","",MIN(SUMIFS('Trade Log'!G:G,'Trade Log'!I:I,A54,'Trade Log'!F:F,"BUY"),SUMIFS('Trade Log'!G:G,'Trade Log'!I:I,A54,'Trade Log'!F:F,"SELL")))</f>
        <v/>
      </c>
      <c r="G54" s="3">
        <f>IF(A54="","",SUMIFS('Trade Log'!K:K,'Trade Log'!I:I,A54,'Trade Log'!F:F,"BUY")/SUMIFS('Trade Log'!G:G,'Trade Log'!I:I,A54,'Trade Log'!F:F,"BUY"))</f>
        <v/>
      </c>
      <c r="H54" s="3">
        <f>IF(A54="","",SUMIFS('Trade Log'!K:K,'Trade Log'!I:I,A54,'Trade Log'!F:F,"SELL")/SUMIFS('Trade Log'!G:G,'Trade Log'!I:I,A54,'Trade Log'!F:F,"SELL"))</f>
        <v/>
      </c>
      <c r="I54" s="3">
        <f>IF(A54="","",(H54-G54)*F54)</f>
        <v/>
      </c>
      <c r="J54" s="3">
        <f>IF(A54="","",SUMIFS('Trade Log'!R:R,'Trade Log'!I:I,A54))</f>
        <v/>
      </c>
      <c r="K54" s="3">
        <f>IF(A54="","",I54-J54)</f>
        <v/>
      </c>
      <c r="L54" s="4">
        <f>IF(A54="","",IF(G54*F54=0,"",K54/(G54*F54)))</f>
        <v/>
      </c>
      <c r="M54">
        <f>IF(A54="","",E54-D54)</f>
        <v/>
      </c>
    </row>
    <row r="55">
      <c r="B55">
        <f>IF(A55="","",INDEX('Trade Log'!C:C,MATCH(A55,'Trade Log'!I:I,0)))</f>
        <v/>
      </c>
      <c r="C55">
        <f>IF(A55="","",INDEX('Trade Log'!E:E,MATCH(A55,'Trade Log'!I:I,0)))</f>
        <v/>
      </c>
      <c r="D55">
        <f>IF(A55="","",MINIFS('Trade Log'!B:B,'Trade Log'!I:I,A55,'Trade Log'!F:F,"BUY"))</f>
        <v/>
      </c>
      <c r="E55">
        <f>IF(A55="","",MAXIFS('Trade Log'!B:B,'Trade Log'!I:I,A55,'Trade Log'!F:F,"SELL"))</f>
        <v/>
      </c>
      <c r="F55" s="3">
        <f>IF(A55="","",MIN(SUMIFS('Trade Log'!G:G,'Trade Log'!I:I,A55,'Trade Log'!F:F,"BUY"),SUMIFS('Trade Log'!G:G,'Trade Log'!I:I,A55,'Trade Log'!F:F,"SELL")))</f>
        <v/>
      </c>
      <c r="G55" s="3">
        <f>IF(A55="","",SUMIFS('Trade Log'!K:K,'Trade Log'!I:I,A55,'Trade Log'!F:F,"BUY")/SUMIFS('Trade Log'!G:G,'Trade Log'!I:I,A55,'Trade Log'!F:F,"BUY"))</f>
        <v/>
      </c>
      <c r="H55" s="3">
        <f>IF(A55="","",SUMIFS('Trade Log'!K:K,'Trade Log'!I:I,A55,'Trade Log'!F:F,"SELL")/SUMIFS('Trade Log'!G:G,'Trade Log'!I:I,A55,'Trade Log'!F:F,"SELL"))</f>
        <v/>
      </c>
      <c r="I55" s="3">
        <f>IF(A55="","",(H55-G55)*F55)</f>
        <v/>
      </c>
      <c r="J55" s="3">
        <f>IF(A55="","",SUMIFS('Trade Log'!R:R,'Trade Log'!I:I,A55))</f>
        <v/>
      </c>
      <c r="K55" s="3">
        <f>IF(A55="","",I55-J55)</f>
        <v/>
      </c>
      <c r="L55" s="4">
        <f>IF(A55="","",IF(G55*F55=0,"",K55/(G55*F55)))</f>
        <v/>
      </c>
      <c r="M55">
        <f>IF(A55="","",E55-D55)</f>
        <v/>
      </c>
    </row>
    <row r="56">
      <c r="B56">
        <f>IF(A56="","",INDEX('Trade Log'!C:C,MATCH(A56,'Trade Log'!I:I,0)))</f>
        <v/>
      </c>
      <c r="C56">
        <f>IF(A56="","",INDEX('Trade Log'!E:E,MATCH(A56,'Trade Log'!I:I,0)))</f>
        <v/>
      </c>
      <c r="D56">
        <f>IF(A56="","",MINIFS('Trade Log'!B:B,'Trade Log'!I:I,A56,'Trade Log'!F:F,"BUY"))</f>
        <v/>
      </c>
      <c r="E56">
        <f>IF(A56="","",MAXIFS('Trade Log'!B:B,'Trade Log'!I:I,A56,'Trade Log'!F:F,"SELL"))</f>
        <v/>
      </c>
      <c r="F56" s="3">
        <f>IF(A56="","",MIN(SUMIFS('Trade Log'!G:G,'Trade Log'!I:I,A56,'Trade Log'!F:F,"BUY"),SUMIFS('Trade Log'!G:G,'Trade Log'!I:I,A56,'Trade Log'!F:F,"SELL")))</f>
        <v/>
      </c>
      <c r="G56" s="3">
        <f>IF(A56="","",SUMIFS('Trade Log'!K:K,'Trade Log'!I:I,A56,'Trade Log'!F:F,"BUY")/SUMIFS('Trade Log'!G:G,'Trade Log'!I:I,A56,'Trade Log'!F:F,"BUY"))</f>
        <v/>
      </c>
      <c r="H56" s="3">
        <f>IF(A56="","",SUMIFS('Trade Log'!K:K,'Trade Log'!I:I,A56,'Trade Log'!F:F,"SELL")/SUMIFS('Trade Log'!G:G,'Trade Log'!I:I,A56,'Trade Log'!F:F,"SELL"))</f>
        <v/>
      </c>
      <c r="I56" s="3">
        <f>IF(A56="","",(H56-G56)*F56)</f>
        <v/>
      </c>
      <c r="J56" s="3">
        <f>IF(A56="","",SUMIFS('Trade Log'!R:R,'Trade Log'!I:I,A56))</f>
        <v/>
      </c>
      <c r="K56" s="3">
        <f>IF(A56="","",I56-J56)</f>
        <v/>
      </c>
      <c r="L56" s="4">
        <f>IF(A56="","",IF(G56*F56=0,"",K56/(G56*F56)))</f>
        <v/>
      </c>
      <c r="M56">
        <f>IF(A56="","",E56-D56)</f>
        <v/>
      </c>
    </row>
    <row r="57">
      <c r="B57">
        <f>IF(A57="","",INDEX('Trade Log'!C:C,MATCH(A57,'Trade Log'!I:I,0)))</f>
        <v/>
      </c>
      <c r="C57">
        <f>IF(A57="","",INDEX('Trade Log'!E:E,MATCH(A57,'Trade Log'!I:I,0)))</f>
        <v/>
      </c>
      <c r="D57">
        <f>IF(A57="","",MINIFS('Trade Log'!B:B,'Trade Log'!I:I,A57,'Trade Log'!F:F,"BUY"))</f>
        <v/>
      </c>
      <c r="E57">
        <f>IF(A57="","",MAXIFS('Trade Log'!B:B,'Trade Log'!I:I,A57,'Trade Log'!F:F,"SELL"))</f>
        <v/>
      </c>
      <c r="F57" s="3">
        <f>IF(A57="","",MIN(SUMIFS('Trade Log'!G:G,'Trade Log'!I:I,A57,'Trade Log'!F:F,"BUY"),SUMIFS('Trade Log'!G:G,'Trade Log'!I:I,A57,'Trade Log'!F:F,"SELL")))</f>
        <v/>
      </c>
      <c r="G57" s="3">
        <f>IF(A57="","",SUMIFS('Trade Log'!K:K,'Trade Log'!I:I,A57,'Trade Log'!F:F,"BUY")/SUMIFS('Trade Log'!G:G,'Trade Log'!I:I,A57,'Trade Log'!F:F,"BUY"))</f>
        <v/>
      </c>
      <c r="H57" s="3">
        <f>IF(A57="","",SUMIFS('Trade Log'!K:K,'Trade Log'!I:I,A57,'Trade Log'!F:F,"SELL")/SUMIFS('Trade Log'!G:G,'Trade Log'!I:I,A57,'Trade Log'!F:F,"SELL"))</f>
        <v/>
      </c>
      <c r="I57" s="3">
        <f>IF(A57="","",(H57-G57)*F57)</f>
        <v/>
      </c>
      <c r="J57" s="3">
        <f>IF(A57="","",SUMIFS('Trade Log'!R:R,'Trade Log'!I:I,A57))</f>
        <v/>
      </c>
      <c r="K57" s="3">
        <f>IF(A57="","",I57-J57)</f>
        <v/>
      </c>
      <c r="L57" s="4">
        <f>IF(A57="","",IF(G57*F57=0,"",K57/(G57*F57)))</f>
        <v/>
      </c>
      <c r="M57">
        <f>IF(A57="","",E57-D57)</f>
        <v/>
      </c>
    </row>
    <row r="58">
      <c r="B58">
        <f>IF(A58="","",INDEX('Trade Log'!C:C,MATCH(A58,'Trade Log'!I:I,0)))</f>
        <v/>
      </c>
      <c r="C58">
        <f>IF(A58="","",INDEX('Trade Log'!E:E,MATCH(A58,'Trade Log'!I:I,0)))</f>
        <v/>
      </c>
      <c r="D58">
        <f>IF(A58="","",MINIFS('Trade Log'!B:B,'Trade Log'!I:I,A58,'Trade Log'!F:F,"BUY"))</f>
        <v/>
      </c>
      <c r="E58">
        <f>IF(A58="","",MAXIFS('Trade Log'!B:B,'Trade Log'!I:I,A58,'Trade Log'!F:F,"SELL"))</f>
        <v/>
      </c>
      <c r="F58" s="3">
        <f>IF(A58="","",MIN(SUMIFS('Trade Log'!G:G,'Trade Log'!I:I,A58,'Trade Log'!F:F,"BUY"),SUMIFS('Trade Log'!G:G,'Trade Log'!I:I,A58,'Trade Log'!F:F,"SELL")))</f>
        <v/>
      </c>
      <c r="G58" s="3">
        <f>IF(A58="","",SUMIFS('Trade Log'!K:K,'Trade Log'!I:I,A58,'Trade Log'!F:F,"BUY")/SUMIFS('Trade Log'!G:G,'Trade Log'!I:I,A58,'Trade Log'!F:F,"BUY"))</f>
        <v/>
      </c>
      <c r="H58" s="3">
        <f>IF(A58="","",SUMIFS('Trade Log'!K:K,'Trade Log'!I:I,A58,'Trade Log'!F:F,"SELL")/SUMIFS('Trade Log'!G:G,'Trade Log'!I:I,A58,'Trade Log'!F:F,"SELL"))</f>
        <v/>
      </c>
      <c r="I58" s="3">
        <f>IF(A58="","",(H58-G58)*F58)</f>
        <v/>
      </c>
      <c r="J58" s="3">
        <f>IF(A58="","",SUMIFS('Trade Log'!R:R,'Trade Log'!I:I,A58))</f>
        <v/>
      </c>
      <c r="K58" s="3">
        <f>IF(A58="","",I58-J58)</f>
        <v/>
      </c>
      <c r="L58" s="4">
        <f>IF(A58="","",IF(G58*F58=0,"",K58/(G58*F58)))</f>
        <v/>
      </c>
      <c r="M58">
        <f>IF(A58="","",E58-D58)</f>
        <v/>
      </c>
    </row>
    <row r="59">
      <c r="B59">
        <f>IF(A59="","",INDEX('Trade Log'!C:C,MATCH(A59,'Trade Log'!I:I,0)))</f>
        <v/>
      </c>
      <c r="C59">
        <f>IF(A59="","",INDEX('Trade Log'!E:E,MATCH(A59,'Trade Log'!I:I,0)))</f>
        <v/>
      </c>
      <c r="D59">
        <f>IF(A59="","",MINIFS('Trade Log'!B:B,'Trade Log'!I:I,A59,'Trade Log'!F:F,"BUY"))</f>
        <v/>
      </c>
      <c r="E59">
        <f>IF(A59="","",MAXIFS('Trade Log'!B:B,'Trade Log'!I:I,A59,'Trade Log'!F:F,"SELL"))</f>
        <v/>
      </c>
      <c r="F59" s="3">
        <f>IF(A59="","",MIN(SUMIFS('Trade Log'!G:G,'Trade Log'!I:I,A59,'Trade Log'!F:F,"BUY"),SUMIFS('Trade Log'!G:G,'Trade Log'!I:I,A59,'Trade Log'!F:F,"SELL")))</f>
        <v/>
      </c>
      <c r="G59" s="3">
        <f>IF(A59="","",SUMIFS('Trade Log'!K:K,'Trade Log'!I:I,A59,'Trade Log'!F:F,"BUY")/SUMIFS('Trade Log'!G:G,'Trade Log'!I:I,A59,'Trade Log'!F:F,"BUY"))</f>
        <v/>
      </c>
      <c r="H59" s="3">
        <f>IF(A59="","",SUMIFS('Trade Log'!K:K,'Trade Log'!I:I,A59,'Trade Log'!F:F,"SELL")/SUMIFS('Trade Log'!G:G,'Trade Log'!I:I,A59,'Trade Log'!F:F,"SELL"))</f>
        <v/>
      </c>
      <c r="I59" s="3">
        <f>IF(A59="","",(H59-G59)*F59)</f>
        <v/>
      </c>
      <c r="J59" s="3">
        <f>IF(A59="","",SUMIFS('Trade Log'!R:R,'Trade Log'!I:I,A59))</f>
        <v/>
      </c>
      <c r="K59" s="3">
        <f>IF(A59="","",I59-J59)</f>
        <v/>
      </c>
      <c r="L59" s="4">
        <f>IF(A59="","",IF(G59*F59=0,"",K59/(G59*F59)))</f>
        <v/>
      </c>
      <c r="M59">
        <f>IF(A59="","",E59-D59)</f>
        <v/>
      </c>
    </row>
    <row r="60">
      <c r="B60">
        <f>IF(A60="","",INDEX('Trade Log'!C:C,MATCH(A60,'Trade Log'!I:I,0)))</f>
        <v/>
      </c>
      <c r="C60">
        <f>IF(A60="","",INDEX('Trade Log'!E:E,MATCH(A60,'Trade Log'!I:I,0)))</f>
        <v/>
      </c>
      <c r="D60">
        <f>IF(A60="","",MINIFS('Trade Log'!B:B,'Trade Log'!I:I,A60,'Trade Log'!F:F,"BUY"))</f>
        <v/>
      </c>
      <c r="E60">
        <f>IF(A60="","",MAXIFS('Trade Log'!B:B,'Trade Log'!I:I,A60,'Trade Log'!F:F,"SELL"))</f>
        <v/>
      </c>
      <c r="F60" s="3">
        <f>IF(A60="","",MIN(SUMIFS('Trade Log'!G:G,'Trade Log'!I:I,A60,'Trade Log'!F:F,"BUY"),SUMIFS('Trade Log'!G:G,'Trade Log'!I:I,A60,'Trade Log'!F:F,"SELL")))</f>
        <v/>
      </c>
      <c r="G60" s="3">
        <f>IF(A60="","",SUMIFS('Trade Log'!K:K,'Trade Log'!I:I,A60,'Trade Log'!F:F,"BUY")/SUMIFS('Trade Log'!G:G,'Trade Log'!I:I,A60,'Trade Log'!F:F,"BUY"))</f>
        <v/>
      </c>
      <c r="H60" s="3">
        <f>IF(A60="","",SUMIFS('Trade Log'!K:K,'Trade Log'!I:I,A60,'Trade Log'!F:F,"SELL")/SUMIFS('Trade Log'!G:G,'Trade Log'!I:I,A60,'Trade Log'!F:F,"SELL"))</f>
        <v/>
      </c>
      <c r="I60" s="3">
        <f>IF(A60="","",(H60-G60)*F60)</f>
        <v/>
      </c>
      <c r="J60" s="3">
        <f>IF(A60="","",SUMIFS('Trade Log'!R:R,'Trade Log'!I:I,A60))</f>
        <v/>
      </c>
      <c r="K60" s="3">
        <f>IF(A60="","",I60-J60)</f>
        <v/>
      </c>
      <c r="L60" s="4">
        <f>IF(A60="","",IF(G60*F60=0,"",K60/(G60*F60)))</f>
        <v/>
      </c>
      <c r="M60">
        <f>IF(A60="","",E60-D60)</f>
        <v/>
      </c>
    </row>
    <row r="61">
      <c r="B61">
        <f>IF(A61="","",INDEX('Trade Log'!C:C,MATCH(A61,'Trade Log'!I:I,0)))</f>
        <v/>
      </c>
      <c r="C61">
        <f>IF(A61="","",INDEX('Trade Log'!E:E,MATCH(A61,'Trade Log'!I:I,0)))</f>
        <v/>
      </c>
      <c r="D61">
        <f>IF(A61="","",MINIFS('Trade Log'!B:B,'Trade Log'!I:I,A61,'Trade Log'!F:F,"BUY"))</f>
        <v/>
      </c>
      <c r="E61">
        <f>IF(A61="","",MAXIFS('Trade Log'!B:B,'Trade Log'!I:I,A61,'Trade Log'!F:F,"SELL"))</f>
        <v/>
      </c>
      <c r="F61" s="3">
        <f>IF(A61="","",MIN(SUMIFS('Trade Log'!G:G,'Trade Log'!I:I,A61,'Trade Log'!F:F,"BUY"),SUMIFS('Trade Log'!G:G,'Trade Log'!I:I,A61,'Trade Log'!F:F,"SELL")))</f>
        <v/>
      </c>
      <c r="G61" s="3">
        <f>IF(A61="","",SUMIFS('Trade Log'!K:K,'Trade Log'!I:I,A61,'Trade Log'!F:F,"BUY")/SUMIFS('Trade Log'!G:G,'Trade Log'!I:I,A61,'Trade Log'!F:F,"BUY"))</f>
        <v/>
      </c>
      <c r="H61" s="3">
        <f>IF(A61="","",SUMIFS('Trade Log'!K:K,'Trade Log'!I:I,A61,'Trade Log'!F:F,"SELL")/SUMIFS('Trade Log'!G:G,'Trade Log'!I:I,A61,'Trade Log'!F:F,"SELL"))</f>
        <v/>
      </c>
      <c r="I61" s="3">
        <f>IF(A61="","",(H61-G61)*F61)</f>
        <v/>
      </c>
      <c r="J61" s="3">
        <f>IF(A61="","",SUMIFS('Trade Log'!R:R,'Trade Log'!I:I,A61))</f>
        <v/>
      </c>
      <c r="K61" s="3">
        <f>IF(A61="","",I61-J61)</f>
        <v/>
      </c>
      <c r="L61" s="4">
        <f>IF(A61="","",IF(G61*F61=0,"",K61/(G61*F61)))</f>
        <v/>
      </c>
      <c r="M61">
        <f>IF(A61="","",E61-D61)</f>
        <v/>
      </c>
    </row>
    <row r="62">
      <c r="B62">
        <f>IF(A62="","",INDEX('Trade Log'!C:C,MATCH(A62,'Trade Log'!I:I,0)))</f>
        <v/>
      </c>
      <c r="C62">
        <f>IF(A62="","",INDEX('Trade Log'!E:E,MATCH(A62,'Trade Log'!I:I,0)))</f>
        <v/>
      </c>
      <c r="D62">
        <f>IF(A62="","",MINIFS('Trade Log'!B:B,'Trade Log'!I:I,A62,'Trade Log'!F:F,"BUY"))</f>
        <v/>
      </c>
      <c r="E62">
        <f>IF(A62="","",MAXIFS('Trade Log'!B:B,'Trade Log'!I:I,A62,'Trade Log'!F:F,"SELL"))</f>
        <v/>
      </c>
      <c r="F62" s="3">
        <f>IF(A62="","",MIN(SUMIFS('Trade Log'!G:G,'Trade Log'!I:I,A62,'Trade Log'!F:F,"BUY"),SUMIFS('Trade Log'!G:G,'Trade Log'!I:I,A62,'Trade Log'!F:F,"SELL")))</f>
        <v/>
      </c>
      <c r="G62" s="3">
        <f>IF(A62="","",SUMIFS('Trade Log'!K:K,'Trade Log'!I:I,A62,'Trade Log'!F:F,"BUY")/SUMIFS('Trade Log'!G:G,'Trade Log'!I:I,A62,'Trade Log'!F:F,"BUY"))</f>
        <v/>
      </c>
      <c r="H62" s="3">
        <f>IF(A62="","",SUMIFS('Trade Log'!K:K,'Trade Log'!I:I,A62,'Trade Log'!F:F,"SELL")/SUMIFS('Trade Log'!G:G,'Trade Log'!I:I,A62,'Trade Log'!F:F,"SELL"))</f>
        <v/>
      </c>
      <c r="I62" s="3">
        <f>IF(A62="","",(H62-G62)*F62)</f>
        <v/>
      </c>
      <c r="J62" s="3">
        <f>IF(A62="","",SUMIFS('Trade Log'!R:R,'Trade Log'!I:I,A62))</f>
        <v/>
      </c>
      <c r="K62" s="3">
        <f>IF(A62="","",I62-J62)</f>
        <v/>
      </c>
      <c r="L62" s="4">
        <f>IF(A62="","",IF(G62*F62=0,"",K62/(G62*F62)))</f>
        <v/>
      </c>
      <c r="M62">
        <f>IF(A62="","",E62-D62)</f>
        <v/>
      </c>
    </row>
    <row r="63">
      <c r="B63">
        <f>IF(A63="","",INDEX('Trade Log'!C:C,MATCH(A63,'Trade Log'!I:I,0)))</f>
        <v/>
      </c>
      <c r="C63">
        <f>IF(A63="","",INDEX('Trade Log'!E:E,MATCH(A63,'Trade Log'!I:I,0)))</f>
        <v/>
      </c>
      <c r="D63">
        <f>IF(A63="","",MINIFS('Trade Log'!B:B,'Trade Log'!I:I,A63,'Trade Log'!F:F,"BUY"))</f>
        <v/>
      </c>
      <c r="E63">
        <f>IF(A63="","",MAXIFS('Trade Log'!B:B,'Trade Log'!I:I,A63,'Trade Log'!F:F,"SELL"))</f>
        <v/>
      </c>
      <c r="F63" s="3">
        <f>IF(A63="","",MIN(SUMIFS('Trade Log'!G:G,'Trade Log'!I:I,A63,'Trade Log'!F:F,"BUY"),SUMIFS('Trade Log'!G:G,'Trade Log'!I:I,A63,'Trade Log'!F:F,"SELL")))</f>
        <v/>
      </c>
      <c r="G63" s="3">
        <f>IF(A63="","",SUMIFS('Trade Log'!K:K,'Trade Log'!I:I,A63,'Trade Log'!F:F,"BUY")/SUMIFS('Trade Log'!G:G,'Trade Log'!I:I,A63,'Trade Log'!F:F,"BUY"))</f>
        <v/>
      </c>
      <c r="H63" s="3">
        <f>IF(A63="","",SUMIFS('Trade Log'!K:K,'Trade Log'!I:I,A63,'Trade Log'!F:F,"SELL")/SUMIFS('Trade Log'!G:G,'Trade Log'!I:I,A63,'Trade Log'!F:F,"SELL"))</f>
        <v/>
      </c>
      <c r="I63" s="3">
        <f>IF(A63="","",(H63-G63)*F63)</f>
        <v/>
      </c>
      <c r="J63" s="3">
        <f>IF(A63="","",SUMIFS('Trade Log'!R:R,'Trade Log'!I:I,A63))</f>
        <v/>
      </c>
      <c r="K63" s="3">
        <f>IF(A63="","",I63-J63)</f>
        <v/>
      </c>
      <c r="L63" s="4">
        <f>IF(A63="","",IF(G63*F63=0,"",K63/(G63*F63)))</f>
        <v/>
      </c>
      <c r="M63">
        <f>IF(A63="","",E63-D63)</f>
        <v/>
      </c>
    </row>
    <row r="64">
      <c r="B64">
        <f>IF(A64="","",INDEX('Trade Log'!C:C,MATCH(A64,'Trade Log'!I:I,0)))</f>
        <v/>
      </c>
      <c r="C64">
        <f>IF(A64="","",INDEX('Trade Log'!E:E,MATCH(A64,'Trade Log'!I:I,0)))</f>
        <v/>
      </c>
      <c r="D64">
        <f>IF(A64="","",MINIFS('Trade Log'!B:B,'Trade Log'!I:I,A64,'Trade Log'!F:F,"BUY"))</f>
        <v/>
      </c>
      <c r="E64">
        <f>IF(A64="","",MAXIFS('Trade Log'!B:B,'Trade Log'!I:I,A64,'Trade Log'!F:F,"SELL"))</f>
        <v/>
      </c>
      <c r="F64" s="3">
        <f>IF(A64="","",MIN(SUMIFS('Trade Log'!G:G,'Trade Log'!I:I,A64,'Trade Log'!F:F,"BUY"),SUMIFS('Trade Log'!G:G,'Trade Log'!I:I,A64,'Trade Log'!F:F,"SELL")))</f>
        <v/>
      </c>
      <c r="G64" s="3">
        <f>IF(A64="","",SUMIFS('Trade Log'!K:K,'Trade Log'!I:I,A64,'Trade Log'!F:F,"BUY")/SUMIFS('Trade Log'!G:G,'Trade Log'!I:I,A64,'Trade Log'!F:F,"BUY"))</f>
        <v/>
      </c>
      <c r="H64" s="3">
        <f>IF(A64="","",SUMIFS('Trade Log'!K:K,'Trade Log'!I:I,A64,'Trade Log'!F:F,"SELL")/SUMIFS('Trade Log'!G:G,'Trade Log'!I:I,A64,'Trade Log'!F:F,"SELL"))</f>
        <v/>
      </c>
      <c r="I64" s="3">
        <f>IF(A64="","",(H64-G64)*F64)</f>
        <v/>
      </c>
      <c r="J64" s="3">
        <f>IF(A64="","",SUMIFS('Trade Log'!R:R,'Trade Log'!I:I,A64))</f>
        <v/>
      </c>
      <c r="K64" s="3">
        <f>IF(A64="","",I64-J64)</f>
        <v/>
      </c>
      <c r="L64" s="4">
        <f>IF(A64="","",IF(G64*F64=0,"",K64/(G64*F64)))</f>
        <v/>
      </c>
      <c r="M64">
        <f>IF(A64="","",E64-D64)</f>
        <v/>
      </c>
    </row>
    <row r="65">
      <c r="B65">
        <f>IF(A65="","",INDEX('Trade Log'!C:C,MATCH(A65,'Trade Log'!I:I,0)))</f>
        <v/>
      </c>
      <c r="C65">
        <f>IF(A65="","",INDEX('Trade Log'!E:E,MATCH(A65,'Trade Log'!I:I,0)))</f>
        <v/>
      </c>
      <c r="D65">
        <f>IF(A65="","",MINIFS('Trade Log'!B:B,'Trade Log'!I:I,A65,'Trade Log'!F:F,"BUY"))</f>
        <v/>
      </c>
      <c r="E65">
        <f>IF(A65="","",MAXIFS('Trade Log'!B:B,'Trade Log'!I:I,A65,'Trade Log'!F:F,"SELL"))</f>
        <v/>
      </c>
      <c r="F65" s="3">
        <f>IF(A65="","",MIN(SUMIFS('Trade Log'!G:G,'Trade Log'!I:I,A65,'Trade Log'!F:F,"BUY"),SUMIFS('Trade Log'!G:G,'Trade Log'!I:I,A65,'Trade Log'!F:F,"SELL")))</f>
        <v/>
      </c>
      <c r="G65" s="3">
        <f>IF(A65="","",SUMIFS('Trade Log'!K:K,'Trade Log'!I:I,A65,'Trade Log'!F:F,"BUY")/SUMIFS('Trade Log'!G:G,'Trade Log'!I:I,A65,'Trade Log'!F:F,"BUY"))</f>
        <v/>
      </c>
      <c r="H65" s="3">
        <f>IF(A65="","",SUMIFS('Trade Log'!K:K,'Trade Log'!I:I,A65,'Trade Log'!F:F,"SELL")/SUMIFS('Trade Log'!G:G,'Trade Log'!I:I,A65,'Trade Log'!F:F,"SELL"))</f>
        <v/>
      </c>
      <c r="I65" s="3">
        <f>IF(A65="","",(H65-G65)*F65)</f>
        <v/>
      </c>
      <c r="J65" s="3">
        <f>IF(A65="","",SUMIFS('Trade Log'!R:R,'Trade Log'!I:I,A65))</f>
        <v/>
      </c>
      <c r="K65" s="3">
        <f>IF(A65="","",I65-J65)</f>
        <v/>
      </c>
      <c r="L65" s="4">
        <f>IF(A65="","",IF(G65*F65=0,"",K65/(G65*F65)))</f>
        <v/>
      </c>
      <c r="M65">
        <f>IF(A65="","",E65-D65)</f>
        <v/>
      </c>
    </row>
    <row r="66">
      <c r="B66">
        <f>IF(A66="","",INDEX('Trade Log'!C:C,MATCH(A66,'Trade Log'!I:I,0)))</f>
        <v/>
      </c>
      <c r="C66">
        <f>IF(A66="","",INDEX('Trade Log'!E:E,MATCH(A66,'Trade Log'!I:I,0)))</f>
        <v/>
      </c>
      <c r="D66">
        <f>IF(A66="","",MINIFS('Trade Log'!B:B,'Trade Log'!I:I,A66,'Trade Log'!F:F,"BUY"))</f>
        <v/>
      </c>
      <c r="E66">
        <f>IF(A66="","",MAXIFS('Trade Log'!B:B,'Trade Log'!I:I,A66,'Trade Log'!F:F,"SELL"))</f>
        <v/>
      </c>
      <c r="F66" s="3">
        <f>IF(A66="","",MIN(SUMIFS('Trade Log'!G:G,'Trade Log'!I:I,A66,'Trade Log'!F:F,"BUY"),SUMIFS('Trade Log'!G:G,'Trade Log'!I:I,A66,'Trade Log'!F:F,"SELL")))</f>
        <v/>
      </c>
      <c r="G66" s="3">
        <f>IF(A66="","",SUMIFS('Trade Log'!K:K,'Trade Log'!I:I,A66,'Trade Log'!F:F,"BUY")/SUMIFS('Trade Log'!G:G,'Trade Log'!I:I,A66,'Trade Log'!F:F,"BUY"))</f>
        <v/>
      </c>
      <c r="H66" s="3">
        <f>IF(A66="","",SUMIFS('Trade Log'!K:K,'Trade Log'!I:I,A66,'Trade Log'!F:F,"SELL")/SUMIFS('Trade Log'!G:G,'Trade Log'!I:I,A66,'Trade Log'!F:F,"SELL"))</f>
        <v/>
      </c>
      <c r="I66" s="3">
        <f>IF(A66="","",(H66-G66)*F66)</f>
        <v/>
      </c>
      <c r="J66" s="3">
        <f>IF(A66="","",SUMIFS('Trade Log'!R:R,'Trade Log'!I:I,A66))</f>
        <v/>
      </c>
      <c r="K66" s="3">
        <f>IF(A66="","",I66-J66)</f>
        <v/>
      </c>
      <c r="L66" s="4">
        <f>IF(A66="","",IF(G66*F66=0,"",K66/(G66*F66)))</f>
        <v/>
      </c>
      <c r="M66">
        <f>IF(A66="","",E66-D66)</f>
        <v/>
      </c>
    </row>
    <row r="67">
      <c r="B67">
        <f>IF(A67="","",INDEX('Trade Log'!C:C,MATCH(A67,'Trade Log'!I:I,0)))</f>
        <v/>
      </c>
      <c r="C67">
        <f>IF(A67="","",INDEX('Trade Log'!E:E,MATCH(A67,'Trade Log'!I:I,0)))</f>
        <v/>
      </c>
      <c r="D67">
        <f>IF(A67="","",MINIFS('Trade Log'!B:B,'Trade Log'!I:I,A67,'Trade Log'!F:F,"BUY"))</f>
        <v/>
      </c>
      <c r="E67">
        <f>IF(A67="","",MAXIFS('Trade Log'!B:B,'Trade Log'!I:I,A67,'Trade Log'!F:F,"SELL"))</f>
        <v/>
      </c>
      <c r="F67" s="3">
        <f>IF(A67="","",MIN(SUMIFS('Trade Log'!G:G,'Trade Log'!I:I,A67,'Trade Log'!F:F,"BUY"),SUMIFS('Trade Log'!G:G,'Trade Log'!I:I,A67,'Trade Log'!F:F,"SELL")))</f>
        <v/>
      </c>
      <c r="G67" s="3">
        <f>IF(A67="","",SUMIFS('Trade Log'!K:K,'Trade Log'!I:I,A67,'Trade Log'!F:F,"BUY")/SUMIFS('Trade Log'!G:G,'Trade Log'!I:I,A67,'Trade Log'!F:F,"BUY"))</f>
        <v/>
      </c>
      <c r="H67" s="3">
        <f>IF(A67="","",SUMIFS('Trade Log'!K:K,'Trade Log'!I:I,A67,'Trade Log'!F:F,"SELL")/SUMIFS('Trade Log'!G:G,'Trade Log'!I:I,A67,'Trade Log'!F:F,"SELL"))</f>
        <v/>
      </c>
      <c r="I67" s="3">
        <f>IF(A67="","",(H67-G67)*F67)</f>
        <v/>
      </c>
      <c r="J67" s="3">
        <f>IF(A67="","",SUMIFS('Trade Log'!R:R,'Trade Log'!I:I,A67))</f>
        <v/>
      </c>
      <c r="K67" s="3">
        <f>IF(A67="","",I67-J67)</f>
        <v/>
      </c>
      <c r="L67" s="4">
        <f>IF(A67="","",IF(G67*F67=0,"",K67/(G67*F67)))</f>
        <v/>
      </c>
      <c r="M67">
        <f>IF(A67="","",E67-D67)</f>
        <v/>
      </c>
    </row>
    <row r="68">
      <c r="B68">
        <f>IF(A68="","",INDEX('Trade Log'!C:C,MATCH(A68,'Trade Log'!I:I,0)))</f>
        <v/>
      </c>
      <c r="C68">
        <f>IF(A68="","",INDEX('Trade Log'!E:E,MATCH(A68,'Trade Log'!I:I,0)))</f>
        <v/>
      </c>
      <c r="D68">
        <f>IF(A68="","",MINIFS('Trade Log'!B:B,'Trade Log'!I:I,A68,'Trade Log'!F:F,"BUY"))</f>
        <v/>
      </c>
      <c r="E68">
        <f>IF(A68="","",MAXIFS('Trade Log'!B:B,'Trade Log'!I:I,A68,'Trade Log'!F:F,"SELL"))</f>
        <v/>
      </c>
      <c r="F68" s="3">
        <f>IF(A68="","",MIN(SUMIFS('Trade Log'!G:G,'Trade Log'!I:I,A68,'Trade Log'!F:F,"BUY"),SUMIFS('Trade Log'!G:G,'Trade Log'!I:I,A68,'Trade Log'!F:F,"SELL")))</f>
        <v/>
      </c>
      <c r="G68" s="3">
        <f>IF(A68="","",SUMIFS('Trade Log'!K:K,'Trade Log'!I:I,A68,'Trade Log'!F:F,"BUY")/SUMIFS('Trade Log'!G:G,'Trade Log'!I:I,A68,'Trade Log'!F:F,"BUY"))</f>
        <v/>
      </c>
      <c r="H68" s="3">
        <f>IF(A68="","",SUMIFS('Trade Log'!K:K,'Trade Log'!I:I,A68,'Trade Log'!F:F,"SELL")/SUMIFS('Trade Log'!G:G,'Trade Log'!I:I,A68,'Trade Log'!F:F,"SELL"))</f>
        <v/>
      </c>
      <c r="I68" s="3">
        <f>IF(A68="","",(H68-G68)*F68)</f>
        <v/>
      </c>
      <c r="J68" s="3">
        <f>IF(A68="","",SUMIFS('Trade Log'!R:R,'Trade Log'!I:I,A68))</f>
        <v/>
      </c>
      <c r="K68" s="3">
        <f>IF(A68="","",I68-J68)</f>
        <v/>
      </c>
      <c r="L68" s="4">
        <f>IF(A68="","",IF(G68*F68=0,"",K68/(G68*F68)))</f>
        <v/>
      </c>
      <c r="M68">
        <f>IF(A68="","",E68-D68)</f>
        <v/>
      </c>
    </row>
    <row r="69">
      <c r="B69">
        <f>IF(A69="","",INDEX('Trade Log'!C:C,MATCH(A69,'Trade Log'!I:I,0)))</f>
        <v/>
      </c>
      <c r="C69">
        <f>IF(A69="","",INDEX('Trade Log'!E:E,MATCH(A69,'Trade Log'!I:I,0)))</f>
        <v/>
      </c>
      <c r="D69">
        <f>IF(A69="","",MINIFS('Trade Log'!B:B,'Trade Log'!I:I,A69,'Trade Log'!F:F,"BUY"))</f>
        <v/>
      </c>
      <c r="E69">
        <f>IF(A69="","",MAXIFS('Trade Log'!B:B,'Trade Log'!I:I,A69,'Trade Log'!F:F,"SELL"))</f>
        <v/>
      </c>
      <c r="F69" s="3">
        <f>IF(A69="","",MIN(SUMIFS('Trade Log'!G:G,'Trade Log'!I:I,A69,'Trade Log'!F:F,"BUY"),SUMIFS('Trade Log'!G:G,'Trade Log'!I:I,A69,'Trade Log'!F:F,"SELL")))</f>
        <v/>
      </c>
      <c r="G69" s="3">
        <f>IF(A69="","",SUMIFS('Trade Log'!K:K,'Trade Log'!I:I,A69,'Trade Log'!F:F,"BUY")/SUMIFS('Trade Log'!G:G,'Trade Log'!I:I,A69,'Trade Log'!F:F,"BUY"))</f>
        <v/>
      </c>
      <c r="H69" s="3">
        <f>IF(A69="","",SUMIFS('Trade Log'!K:K,'Trade Log'!I:I,A69,'Trade Log'!F:F,"SELL")/SUMIFS('Trade Log'!G:G,'Trade Log'!I:I,A69,'Trade Log'!F:F,"SELL"))</f>
        <v/>
      </c>
      <c r="I69" s="3">
        <f>IF(A69="","",(H69-G69)*F69)</f>
        <v/>
      </c>
      <c r="J69" s="3">
        <f>IF(A69="","",SUMIFS('Trade Log'!R:R,'Trade Log'!I:I,A69))</f>
        <v/>
      </c>
      <c r="K69" s="3">
        <f>IF(A69="","",I69-J69)</f>
        <v/>
      </c>
      <c r="L69" s="4">
        <f>IF(A69="","",IF(G69*F69=0,"",K69/(G69*F69)))</f>
        <v/>
      </c>
      <c r="M69">
        <f>IF(A69="","",E69-D69)</f>
        <v/>
      </c>
    </row>
    <row r="70">
      <c r="B70">
        <f>IF(A70="","",INDEX('Trade Log'!C:C,MATCH(A70,'Trade Log'!I:I,0)))</f>
        <v/>
      </c>
      <c r="C70">
        <f>IF(A70="","",INDEX('Trade Log'!E:E,MATCH(A70,'Trade Log'!I:I,0)))</f>
        <v/>
      </c>
      <c r="D70">
        <f>IF(A70="","",MINIFS('Trade Log'!B:B,'Trade Log'!I:I,A70,'Trade Log'!F:F,"BUY"))</f>
        <v/>
      </c>
      <c r="E70">
        <f>IF(A70="","",MAXIFS('Trade Log'!B:B,'Trade Log'!I:I,A70,'Trade Log'!F:F,"SELL"))</f>
        <v/>
      </c>
      <c r="F70" s="3">
        <f>IF(A70="","",MIN(SUMIFS('Trade Log'!G:G,'Trade Log'!I:I,A70,'Trade Log'!F:F,"BUY"),SUMIFS('Trade Log'!G:G,'Trade Log'!I:I,A70,'Trade Log'!F:F,"SELL")))</f>
        <v/>
      </c>
      <c r="G70" s="3">
        <f>IF(A70="","",SUMIFS('Trade Log'!K:K,'Trade Log'!I:I,A70,'Trade Log'!F:F,"BUY")/SUMIFS('Trade Log'!G:G,'Trade Log'!I:I,A70,'Trade Log'!F:F,"BUY"))</f>
        <v/>
      </c>
      <c r="H70" s="3">
        <f>IF(A70="","",SUMIFS('Trade Log'!K:K,'Trade Log'!I:I,A70,'Trade Log'!F:F,"SELL")/SUMIFS('Trade Log'!G:G,'Trade Log'!I:I,A70,'Trade Log'!F:F,"SELL"))</f>
        <v/>
      </c>
      <c r="I70" s="3">
        <f>IF(A70="","",(H70-G70)*F70)</f>
        <v/>
      </c>
      <c r="J70" s="3">
        <f>IF(A70="","",SUMIFS('Trade Log'!R:R,'Trade Log'!I:I,A70))</f>
        <v/>
      </c>
      <c r="K70" s="3">
        <f>IF(A70="","",I70-J70)</f>
        <v/>
      </c>
      <c r="L70" s="4">
        <f>IF(A70="","",IF(G70*F70=0,"",K70/(G70*F70)))</f>
        <v/>
      </c>
      <c r="M70">
        <f>IF(A70="","",E70-D70)</f>
        <v/>
      </c>
    </row>
    <row r="71">
      <c r="B71">
        <f>IF(A71="","",INDEX('Trade Log'!C:C,MATCH(A71,'Trade Log'!I:I,0)))</f>
        <v/>
      </c>
      <c r="C71">
        <f>IF(A71="","",INDEX('Trade Log'!E:E,MATCH(A71,'Trade Log'!I:I,0)))</f>
        <v/>
      </c>
      <c r="D71">
        <f>IF(A71="","",MINIFS('Trade Log'!B:B,'Trade Log'!I:I,A71,'Trade Log'!F:F,"BUY"))</f>
        <v/>
      </c>
      <c r="E71">
        <f>IF(A71="","",MAXIFS('Trade Log'!B:B,'Trade Log'!I:I,A71,'Trade Log'!F:F,"SELL"))</f>
        <v/>
      </c>
      <c r="F71" s="3">
        <f>IF(A71="","",MIN(SUMIFS('Trade Log'!G:G,'Trade Log'!I:I,A71,'Trade Log'!F:F,"BUY"),SUMIFS('Trade Log'!G:G,'Trade Log'!I:I,A71,'Trade Log'!F:F,"SELL")))</f>
        <v/>
      </c>
      <c r="G71" s="3">
        <f>IF(A71="","",SUMIFS('Trade Log'!K:K,'Trade Log'!I:I,A71,'Trade Log'!F:F,"BUY")/SUMIFS('Trade Log'!G:G,'Trade Log'!I:I,A71,'Trade Log'!F:F,"BUY"))</f>
        <v/>
      </c>
      <c r="H71" s="3">
        <f>IF(A71="","",SUMIFS('Trade Log'!K:K,'Trade Log'!I:I,A71,'Trade Log'!F:F,"SELL")/SUMIFS('Trade Log'!G:G,'Trade Log'!I:I,A71,'Trade Log'!F:F,"SELL"))</f>
        <v/>
      </c>
      <c r="I71" s="3">
        <f>IF(A71="","",(H71-G71)*F71)</f>
        <v/>
      </c>
      <c r="J71" s="3">
        <f>IF(A71="","",SUMIFS('Trade Log'!R:R,'Trade Log'!I:I,A71))</f>
        <v/>
      </c>
      <c r="K71" s="3">
        <f>IF(A71="","",I71-J71)</f>
        <v/>
      </c>
      <c r="L71" s="4">
        <f>IF(A71="","",IF(G71*F71=0,"",K71/(G71*F71)))</f>
        <v/>
      </c>
      <c r="M71">
        <f>IF(A71="","",E71-D71)</f>
        <v/>
      </c>
    </row>
    <row r="72">
      <c r="B72">
        <f>IF(A72="","",INDEX('Trade Log'!C:C,MATCH(A72,'Trade Log'!I:I,0)))</f>
        <v/>
      </c>
      <c r="C72">
        <f>IF(A72="","",INDEX('Trade Log'!E:E,MATCH(A72,'Trade Log'!I:I,0)))</f>
        <v/>
      </c>
      <c r="D72">
        <f>IF(A72="","",MINIFS('Trade Log'!B:B,'Trade Log'!I:I,A72,'Trade Log'!F:F,"BUY"))</f>
        <v/>
      </c>
      <c r="E72">
        <f>IF(A72="","",MAXIFS('Trade Log'!B:B,'Trade Log'!I:I,A72,'Trade Log'!F:F,"SELL"))</f>
        <v/>
      </c>
      <c r="F72" s="3">
        <f>IF(A72="","",MIN(SUMIFS('Trade Log'!G:G,'Trade Log'!I:I,A72,'Trade Log'!F:F,"BUY"),SUMIFS('Trade Log'!G:G,'Trade Log'!I:I,A72,'Trade Log'!F:F,"SELL")))</f>
        <v/>
      </c>
      <c r="G72" s="3">
        <f>IF(A72="","",SUMIFS('Trade Log'!K:K,'Trade Log'!I:I,A72,'Trade Log'!F:F,"BUY")/SUMIFS('Trade Log'!G:G,'Trade Log'!I:I,A72,'Trade Log'!F:F,"BUY"))</f>
        <v/>
      </c>
      <c r="H72" s="3">
        <f>IF(A72="","",SUMIFS('Trade Log'!K:K,'Trade Log'!I:I,A72,'Trade Log'!F:F,"SELL")/SUMIFS('Trade Log'!G:G,'Trade Log'!I:I,A72,'Trade Log'!F:F,"SELL"))</f>
        <v/>
      </c>
      <c r="I72" s="3">
        <f>IF(A72="","",(H72-G72)*F72)</f>
        <v/>
      </c>
      <c r="J72" s="3">
        <f>IF(A72="","",SUMIFS('Trade Log'!R:R,'Trade Log'!I:I,A72))</f>
        <v/>
      </c>
      <c r="K72" s="3">
        <f>IF(A72="","",I72-J72)</f>
        <v/>
      </c>
      <c r="L72" s="4">
        <f>IF(A72="","",IF(G72*F72=0,"",K72/(G72*F72)))</f>
        <v/>
      </c>
      <c r="M72">
        <f>IF(A72="","",E72-D72)</f>
        <v/>
      </c>
    </row>
    <row r="73">
      <c r="B73">
        <f>IF(A73="","",INDEX('Trade Log'!C:C,MATCH(A73,'Trade Log'!I:I,0)))</f>
        <v/>
      </c>
      <c r="C73">
        <f>IF(A73="","",INDEX('Trade Log'!E:E,MATCH(A73,'Trade Log'!I:I,0)))</f>
        <v/>
      </c>
      <c r="D73">
        <f>IF(A73="","",MINIFS('Trade Log'!B:B,'Trade Log'!I:I,A73,'Trade Log'!F:F,"BUY"))</f>
        <v/>
      </c>
      <c r="E73">
        <f>IF(A73="","",MAXIFS('Trade Log'!B:B,'Trade Log'!I:I,A73,'Trade Log'!F:F,"SELL"))</f>
        <v/>
      </c>
      <c r="F73" s="3">
        <f>IF(A73="","",MIN(SUMIFS('Trade Log'!G:G,'Trade Log'!I:I,A73,'Trade Log'!F:F,"BUY"),SUMIFS('Trade Log'!G:G,'Trade Log'!I:I,A73,'Trade Log'!F:F,"SELL")))</f>
        <v/>
      </c>
      <c r="G73" s="3">
        <f>IF(A73="","",SUMIFS('Trade Log'!K:K,'Trade Log'!I:I,A73,'Trade Log'!F:F,"BUY")/SUMIFS('Trade Log'!G:G,'Trade Log'!I:I,A73,'Trade Log'!F:F,"BUY"))</f>
        <v/>
      </c>
      <c r="H73" s="3">
        <f>IF(A73="","",SUMIFS('Trade Log'!K:K,'Trade Log'!I:I,A73,'Trade Log'!F:F,"SELL")/SUMIFS('Trade Log'!G:G,'Trade Log'!I:I,A73,'Trade Log'!F:F,"SELL"))</f>
        <v/>
      </c>
      <c r="I73" s="3">
        <f>IF(A73="","",(H73-G73)*F73)</f>
        <v/>
      </c>
      <c r="J73" s="3">
        <f>IF(A73="","",SUMIFS('Trade Log'!R:R,'Trade Log'!I:I,A73))</f>
        <v/>
      </c>
      <c r="K73" s="3">
        <f>IF(A73="","",I73-J73)</f>
        <v/>
      </c>
      <c r="L73" s="4">
        <f>IF(A73="","",IF(G73*F73=0,"",K73/(G73*F73)))</f>
        <v/>
      </c>
      <c r="M73">
        <f>IF(A73="","",E73-D73)</f>
        <v/>
      </c>
    </row>
    <row r="74">
      <c r="B74">
        <f>IF(A74="","",INDEX('Trade Log'!C:C,MATCH(A74,'Trade Log'!I:I,0)))</f>
        <v/>
      </c>
      <c r="C74">
        <f>IF(A74="","",INDEX('Trade Log'!E:E,MATCH(A74,'Trade Log'!I:I,0)))</f>
        <v/>
      </c>
      <c r="D74">
        <f>IF(A74="","",MINIFS('Trade Log'!B:B,'Trade Log'!I:I,A74,'Trade Log'!F:F,"BUY"))</f>
        <v/>
      </c>
      <c r="E74">
        <f>IF(A74="","",MAXIFS('Trade Log'!B:B,'Trade Log'!I:I,A74,'Trade Log'!F:F,"SELL"))</f>
        <v/>
      </c>
      <c r="F74" s="3">
        <f>IF(A74="","",MIN(SUMIFS('Trade Log'!G:G,'Trade Log'!I:I,A74,'Trade Log'!F:F,"BUY"),SUMIFS('Trade Log'!G:G,'Trade Log'!I:I,A74,'Trade Log'!F:F,"SELL")))</f>
        <v/>
      </c>
      <c r="G74" s="3">
        <f>IF(A74="","",SUMIFS('Trade Log'!K:K,'Trade Log'!I:I,A74,'Trade Log'!F:F,"BUY")/SUMIFS('Trade Log'!G:G,'Trade Log'!I:I,A74,'Trade Log'!F:F,"BUY"))</f>
        <v/>
      </c>
      <c r="H74" s="3">
        <f>IF(A74="","",SUMIFS('Trade Log'!K:K,'Trade Log'!I:I,A74,'Trade Log'!F:F,"SELL")/SUMIFS('Trade Log'!G:G,'Trade Log'!I:I,A74,'Trade Log'!F:F,"SELL"))</f>
        <v/>
      </c>
      <c r="I74" s="3">
        <f>IF(A74="","",(H74-G74)*F74)</f>
        <v/>
      </c>
      <c r="J74" s="3">
        <f>IF(A74="","",SUMIFS('Trade Log'!R:R,'Trade Log'!I:I,A74))</f>
        <v/>
      </c>
      <c r="K74" s="3">
        <f>IF(A74="","",I74-J74)</f>
        <v/>
      </c>
      <c r="L74" s="4">
        <f>IF(A74="","",IF(G74*F74=0,"",K74/(G74*F74)))</f>
        <v/>
      </c>
      <c r="M74">
        <f>IF(A74="","",E74-D74)</f>
        <v/>
      </c>
    </row>
    <row r="75">
      <c r="B75">
        <f>IF(A75="","",INDEX('Trade Log'!C:C,MATCH(A75,'Trade Log'!I:I,0)))</f>
        <v/>
      </c>
      <c r="C75">
        <f>IF(A75="","",INDEX('Trade Log'!E:E,MATCH(A75,'Trade Log'!I:I,0)))</f>
        <v/>
      </c>
      <c r="D75">
        <f>IF(A75="","",MINIFS('Trade Log'!B:B,'Trade Log'!I:I,A75,'Trade Log'!F:F,"BUY"))</f>
        <v/>
      </c>
      <c r="E75">
        <f>IF(A75="","",MAXIFS('Trade Log'!B:B,'Trade Log'!I:I,A75,'Trade Log'!F:F,"SELL"))</f>
        <v/>
      </c>
      <c r="F75" s="3">
        <f>IF(A75="","",MIN(SUMIFS('Trade Log'!G:G,'Trade Log'!I:I,A75,'Trade Log'!F:F,"BUY"),SUMIFS('Trade Log'!G:G,'Trade Log'!I:I,A75,'Trade Log'!F:F,"SELL")))</f>
        <v/>
      </c>
      <c r="G75" s="3">
        <f>IF(A75="","",SUMIFS('Trade Log'!K:K,'Trade Log'!I:I,A75,'Trade Log'!F:F,"BUY")/SUMIFS('Trade Log'!G:G,'Trade Log'!I:I,A75,'Trade Log'!F:F,"BUY"))</f>
        <v/>
      </c>
      <c r="H75" s="3">
        <f>IF(A75="","",SUMIFS('Trade Log'!K:K,'Trade Log'!I:I,A75,'Trade Log'!F:F,"SELL")/SUMIFS('Trade Log'!G:G,'Trade Log'!I:I,A75,'Trade Log'!F:F,"SELL"))</f>
        <v/>
      </c>
      <c r="I75" s="3">
        <f>IF(A75="","",(H75-G75)*F75)</f>
        <v/>
      </c>
      <c r="J75" s="3">
        <f>IF(A75="","",SUMIFS('Trade Log'!R:R,'Trade Log'!I:I,A75))</f>
        <v/>
      </c>
      <c r="K75" s="3">
        <f>IF(A75="","",I75-J75)</f>
        <v/>
      </c>
      <c r="L75" s="4">
        <f>IF(A75="","",IF(G75*F75=0,"",K75/(G75*F75)))</f>
        <v/>
      </c>
      <c r="M75">
        <f>IF(A75="","",E75-D75)</f>
        <v/>
      </c>
    </row>
    <row r="76">
      <c r="B76">
        <f>IF(A76="","",INDEX('Trade Log'!C:C,MATCH(A76,'Trade Log'!I:I,0)))</f>
        <v/>
      </c>
      <c r="C76">
        <f>IF(A76="","",INDEX('Trade Log'!E:E,MATCH(A76,'Trade Log'!I:I,0)))</f>
        <v/>
      </c>
      <c r="D76">
        <f>IF(A76="","",MINIFS('Trade Log'!B:B,'Trade Log'!I:I,A76,'Trade Log'!F:F,"BUY"))</f>
        <v/>
      </c>
      <c r="E76">
        <f>IF(A76="","",MAXIFS('Trade Log'!B:B,'Trade Log'!I:I,A76,'Trade Log'!F:F,"SELL"))</f>
        <v/>
      </c>
      <c r="F76" s="3">
        <f>IF(A76="","",MIN(SUMIFS('Trade Log'!G:G,'Trade Log'!I:I,A76,'Trade Log'!F:F,"BUY"),SUMIFS('Trade Log'!G:G,'Trade Log'!I:I,A76,'Trade Log'!F:F,"SELL")))</f>
        <v/>
      </c>
      <c r="G76" s="3">
        <f>IF(A76="","",SUMIFS('Trade Log'!K:K,'Trade Log'!I:I,A76,'Trade Log'!F:F,"BUY")/SUMIFS('Trade Log'!G:G,'Trade Log'!I:I,A76,'Trade Log'!F:F,"BUY"))</f>
        <v/>
      </c>
      <c r="H76" s="3">
        <f>IF(A76="","",SUMIFS('Trade Log'!K:K,'Trade Log'!I:I,A76,'Trade Log'!F:F,"SELL")/SUMIFS('Trade Log'!G:G,'Trade Log'!I:I,A76,'Trade Log'!F:F,"SELL"))</f>
        <v/>
      </c>
      <c r="I76" s="3">
        <f>IF(A76="","",(H76-G76)*F76)</f>
        <v/>
      </c>
      <c r="J76" s="3">
        <f>IF(A76="","",SUMIFS('Trade Log'!R:R,'Trade Log'!I:I,A76))</f>
        <v/>
      </c>
      <c r="K76" s="3">
        <f>IF(A76="","",I76-J76)</f>
        <v/>
      </c>
      <c r="L76" s="4">
        <f>IF(A76="","",IF(G76*F76=0,"",K76/(G76*F76)))</f>
        <v/>
      </c>
      <c r="M76">
        <f>IF(A76="","",E76-D76)</f>
        <v/>
      </c>
    </row>
    <row r="77">
      <c r="B77">
        <f>IF(A77="","",INDEX('Trade Log'!C:C,MATCH(A77,'Trade Log'!I:I,0)))</f>
        <v/>
      </c>
      <c r="C77">
        <f>IF(A77="","",INDEX('Trade Log'!E:E,MATCH(A77,'Trade Log'!I:I,0)))</f>
        <v/>
      </c>
      <c r="D77">
        <f>IF(A77="","",MINIFS('Trade Log'!B:B,'Trade Log'!I:I,A77,'Trade Log'!F:F,"BUY"))</f>
        <v/>
      </c>
      <c r="E77">
        <f>IF(A77="","",MAXIFS('Trade Log'!B:B,'Trade Log'!I:I,A77,'Trade Log'!F:F,"SELL"))</f>
        <v/>
      </c>
      <c r="F77" s="3">
        <f>IF(A77="","",MIN(SUMIFS('Trade Log'!G:G,'Trade Log'!I:I,A77,'Trade Log'!F:F,"BUY"),SUMIFS('Trade Log'!G:G,'Trade Log'!I:I,A77,'Trade Log'!F:F,"SELL")))</f>
        <v/>
      </c>
      <c r="G77" s="3">
        <f>IF(A77="","",SUMIFS('Trade Log'!K:K,'Trade Log'!I:I,A77,'Trade Log'!F:F,"BUY")/SUMIFS('Trade Log'!G:G,'Trade Log'!I:I,A77,'Trade Log'!F:F,"BUY"))</f>
        <v/>
      </c>
      <c r="H77" s="3">
        <f>IF(A77="","",SUMIFS('Trade Log'!K:K,'Trade Log'!I:I,A77,'Trade Log'!F:F,"SELL")/SUMIFS('Trade Log'!G:G,'Trade Log'!I:I,A77,'Trade Log'!F:F,"SELL"))</f>
        <v/>
      </c>
      <c r="I77" s="3">
        <f>IF(A77="","",(H77-G77)*F77)</f>
        <v/>
      </c>
      <c r="J77" s="3">
        <f>IF(A77="","",SUMIFS('Trade Log'!R:R,'Trade Log'!I:I,A77))</f>
        <v/>
      </c>
      <c r="K77" s="3">
        <f>IF(A77="","",I77-J77)</f>
        <v/>
      </c>
      <c r="L77" s="4">
        <f>IF(A77="","",IF(G77*F77=0,"",K77/(G77*F77)))</f>
        <v/>
      </c>
      <c r="M77">
        <f>IF(A77="","",E77-D77)</f>
        <v/>
      </c>
    </row>
    <row r="78">
      <c r="B78">
        <f>IF(A78="","",INDEX('Trade Log'!C:C,MATCH(A78,'Trade Log'!I:I,0)))</f>
        <v/>
      </c>
      <c r="C78">
        <f>IF(A78="","",INDEX('Trade Log'!E:E,MATCH(A78,'Trade Log'!I:I,0)))</f>
        <v/>
      </c>
      <c r="D78">
        <f>IF(A78="","",MINIFS('Trade Log'!B:B,'Trade Log'!I:I,A78,'Trade Log'!F:F,"BUY"))</f>
        <v/>
      </c>
      <c r="E78">
        <f>IF(A78="","",MAXIFS('Trade Log'!B:B,'Trade Log'!I:I,A78,'Trade Log'!F:F,"SELL"))</f>
        <v/>
      </c>
      <c r="F78" s="3">
        <f>IF(A78="","",MIN(SUMIFS('Trade Log'!G:G,'Trade Log'!I:I,A78,'Trade Log'!F:F,"BUY"),SUMIFS('Trade Log'!G:G,'Trade Log'!I:I,A78,'Trade Log'!F:F,"SELL")))</f>
        <v/>
      </c>
      <c r="G78" s="3">
        <f>IF(A78="","",SUMIFS('Trade Log'!K:K,'Trade Log'!I:I,A78,'Trade Log'!F:F,"BUY")/SUMIFS('Trade Log'!G:G,'Trade Log'!I:I,A78,'Trade Log'!F:F,"BUY"))</f>
        <v/>
      </c>
      <c r="H78" s="3">
        <f>IF(A78="","",SUMIFS('Trade Log'!K:K,'Trade Log'!I:I,A78,'Trade Log'!F:F,"SELL")/SUMIFS('Trade Log'!G:G,'Trade Log'!I:I,A78,'Trade Log'!F:F,"SELL"))</f>
        <v/>
      </c>
      <c r="I78" s="3">
        <f>IF(A78="","",(H78-G78)*F78)</f>
        <v/>
      </c>
      <c r="J78" s="3">
        <f>IF(A78="","",SUMIFS('Trade Log'!R:R,'Trade Log'!I:I,A78))</f>
        <v/>
      </c>
      <c r="K78" s="3">
        <f>IF(A78="","",I78-J78)</f>
        <v/>
      </c>
      <c r="L78" s="4">
        <f>IF(A78="","",IF(G78*F78=0,"",K78/(G78*F78)))</f>
        <v/>
      </c>
      <c r="M78">
        <f>IF(A78="","",E78-D78)</f>
        <v/>
      </c>
    </row>
    <row r="79">
      <c r="B79">
        <f>IF(A79="","",INDEX('Trade Log'!C:C,MATCH(A79,'Trade Log'!I:I,0)))</f>
        <v/>
      </c>
      <c r="C79">
        <f>IF(A79="","",INDEX('Trade Log'!E:E,MATCH(A79,'Trade Log'!I:I,0)))</f>
        <v/>
      </c>
      <c r="D79">
        <f>IF(A79="","",MINIFS('Trade Log'!B:B,'Trade Log'!I:I,A79,'Trade Log'!F:F,"BUY"))</f>
        <v/>
      </c>
      <c r="E79">
        <f>IF(A79="","",MAXIFS('Trade Log'!B:B,'Trade Log'!I:I,A79,'Trade Log'!F:F,"SELL"))</f>
        <v/>
      </c>
      <c r="F79" s="3">
        <f>IF(A79="","",MIN(SUMIFS('Trade Log'!G:G,'Trade Log'!I:I,A79,'Trade Log'!F:F,"BUY"),SUMIFS('Trade Log'!G:G,'Trade Log'!I:I,A79,'Trade Log'!F:F,"SELL")))</f>
        <v/>
      </c>
      <c r="G79" s="3">
        <f>IF(A79="","",SUMIFS('Trade Log'!K:K,'Trade Log'!I:I,A79,'Trade Log'!F:F,"BUY")/SUMIFS('Trade Log'!G:G,'Trade Log'!I:I,A79,'Trade Log'!F:F,"BUY"))</f>
        <v/>
      </c>
      <c r="H79" s="3">
        <f>IF(A79="","",SUMIFS('Trade Log'!K:K,'Trade Log'!I:I,A79,'Trade Log'!F:F,"SELL")/SUMIFS('Trade Log'!G:G,'Trade Log'!I:I,A79,'Trade Log'!F:F,"SELL"))</f>
        <v/>
      </c>
      <c r="I79" s="3">
        <f>IF(A79="","",(H79-G79)*F79)</f>
        <v/>
      </c>
      <c r="J79" s="3">
        <f>IF(A79="","",SUMIFS('Trade Log'!R:R,'Trade Log'!I:I,A79))</f>
        <v/>
      </c>
      <c r="K79" s="3">
        <f>IF(A79="","",I79-J79)</f>
        <v/>
      </c>
      <c r="L79" s="4">
        <f>IF(A79="","",IF(G79*F79=0,"",K79/(G79*F79)))</f>
        <v/>
      </c>
      <c r="M79">
        <f>IF(A79="","",E79-D79)</f>
        <v/>
      </c>
    </row>
    <row r="80">
      <c r="B80">
        <f>IF(A80="","",INDEX('Trade Log'!C:C,MATCH(A80,'Trade Log'!I:I,0)))</f>
        <v/>
      </c>
      <c r="C80">
        <f>IF(A80="","",INDEX('Trade Log'!E:E,MATCH(A80,'Trade Log'!I:I,0)))</f>
        <v/>
      </c>
      <c r="D80">
        <f>IF(A80="","",MINIFS('Trade Log'!B:B,'Trade Log'!I:I,A80,'Trade Log'!F:F,"BUY"))</f>
        <v/>
      </c>
      <c r="E80">
        <f>IF(A80="","",MAXIFS('Trade Log'!B:B,'Trade Log'!I:I,A80,'Trade Log'!F:F,"SELL"))</f>
        <v/>
      </c>
      <c r="F80" s="3">
        <f>IF(A80="","",MIN(SUMIFS('Trade Log'!G:G,'Trade Log'!I:I,A80,'Trade Log'!F:F,"BUY"),SUMIFS('Trade Log'!G:G,'Trade Log'!I:I,A80,'Trade Log'!F:F,"SELL")))</f>
        <v/>
      </c>
      <c r="G80" s="3">
        <f>IF(A80="","",SUMIFS('Trade Log'!K:K,'Trade Log'!I:I,A80,'Trade Log'!F:F,"BUY")/SUMIFS('Trade Log'!G:G,'Trade Log'!I:I,A80,'Trade Log'!F:F,"BUY"))</f>
        <v/>
      </c>
      <c r="H80" s="3">
        <f>IF(A80="","",SUMIFS('Trade Log'!K:K,'Trade Log'!I:I,A80,'Trade Log'!F:F,"SELL")/SUMIFS('Trade Log'!G:G,'Trade Log'!I:I,A80,'Trade Log'!F:F,"SELL"))</f>
        <v/>
      </c>
      <c r="I80" s="3">
        <f>IF(A80="","",(H80-G80)*F80)</f>
        <v/>
      </c>
      <c r="J80" s="3">
        <f>IF(A80="","",SUMIFS('Trade Log'!R:R,'Trade Log'!I:I,A80))</f>
        <v/>
      </c>
      <c r="K80" s="3">
        <f>IF(A80="","",I80-J80)</f>
        <v/>
      </c>
      <c r="L80" s="4">
        <f>IF(A80="","",IF(G80*F80=0,"",K80/(G80*F80)))</f>
        <v/>
      </c>
      <c r="M80">
        <f>IF(A80="","",E80-D80)</f>
        <v/>
      </c>
    </row>
    <row r="81">
      <c r="B81">
        <f>IF(A81="","",INDEX('Trade Log'!C:C,MATCH(A81,'Trade Log'!I:I,0)))</f>
        <v/>
      </c>
      <c r="C81">
        <f>IF(A81="","",INDEX('Trade Log'!E:E,MATCH(A81,'Trade Log'!I:I,0)))</f>
        <v/>
      </c>
      <c r="D81">
        <f>IF(A81="","",MINIFS('Trade Log'!B:B,'Trade Log'!I:I,A81,'Trade Log'!F:F,"BUY"))</f>
        <v/>
      </c>
      <c r="E81">
        <f>IF(A81="","",MAXIFS('Trade Log'!B:B,'Trade Log'!I:I,A81,'Trade Log'!F:F,"SELL"))</f>
        <v/>
      </c>
      <c r="F81" s="3">
        <f>IF(A81="","",MIN(SUMIFS('Trade Log'!G:G,'Trade Log'!I:I,A81,'Trade Log'!F:F,"BUY"),SUMIFS('Trade Log'!G:G,'Trade Log'!I:I,A81,'Trade Log'!F:F,"SELL")))</f>
        <v/>
      </c>
      <c r="G81" s="3">
        <f>IF(A81="","",SUMIFS('Trade Log'!K:K,'Trade Log'!I:I,A81,'Trade Log'!F:F,"BUY")/SUMIFS('Trade Log'!G:G,'Trade Log'!I:I,A81,'Trade Log'!F:F,"BUY"))</f>
        <v/>
      </c>
      <c r="H81" s="3">
        <f>IF(A81="","",SUMIFS('Trade Log'!K:K,'Trade Log'!I:I,A81,'Trade Log'!F:F,"SELL")/SUMIFS('Trade Log'!G:G,'Trade Log'!I:I,A81,'Trade Log'!F:F,"SELL"))</f>
        <v/>
      </c>
      <c r="I81" s="3">
        <f>IF(A81="","",(H81-G81)*F81)</f>
        <v/>
      </c>
      <c r="J81" s="3">
        <f>IF(A81="","",SUMIFS('Trade Log'!R:R,'Trade Log'!I:I,A81))</f>
        <v/>
      </c>
      <c r="K81" s="3">
        <f>IF(A81="","",I81-J81)</f>
        <v/>
      </c>
      <c r="L81" s="4">
        <f>IF(A81="","",IF(G81*F81=0,"",K81/(G81*F81)))</f>
        <v/>
      </c>
      <c r="M81">
        <f>IF(A81="","",E81-D81)</f>
        <v/>
      </c>
    </row>
    <row r="82">
      <c r="B82">
        <f>IF(A82="","",INDEX('Trade Log'!C:C,MATCH(A82,'Trade Log'!I:I,0)))</f>
        <v/>
      </c>
      <c r="C82">
        <f>IF(A82="","",INDEX('Trade Log'!E:E,MATCH(A82,'Trade Log'!I:I,0)))</f>
        <v/>
      </c>
      <c r="D82">
        <f>IF(A82="","",MINIFS('Trade Log'!B:B,'Trade Log'!I:I,A82,'Trade Log'!F:F,"BUY"))</f>
        <v/>
      </c>
      <c r="E82">
        <f>IF(A82="","",MAXIFS('Trade Log'!B:B,'Trade Log'!I:I,A82,'Trade Log'!F:F,"SELL"))</f>
        <v/>
      </c>
      <c r="F82" s="3">
        <f>IF(A82="","",MIN(SUMIFS('Trade Log'!G:G,'Trade Log'!I:I,A82,'Trade Log'!F:F,"BUY"),SUMIFS('Trade Log'!G:G,'Trade Log'!I:I,A82,'Trade Log'!F:F,"SELL")))</f>
        <v/>
      </c>
      <c r="G82" s="3">
        <f>IF(A82="","",SUMIFS('Trade Log'!K:K,'Trade Log'!I:I,A82,'Trade Log'!F:F,"BUY")/SUMIFS('Trade Log'!G:G,'Trade Log'!I:I,A82,'Trade Log'!F:F,"BUY"))</f>
        <v/>
      </c>
      <c r="H82" s="3">
        <f>IF(A82="","",SUMIFS('Trade Log'!K:K,'Trade Log'!I:I,A82,'Trade Log'!F:F,"SELL")/SUMIFS('Trade Log'!G:G,'Trade Log'!I:I,A82,'Trade Log'!F:F,"SELL"))</f>
        <v/>
      </c>
      <c r="I82" s="3">
        <f>IF(A82="","",(H82-G82)*F82)</f>
        <v/>
      </c>
      <c r="J82" s="3">
        <f>IF(A82="","",SUMIFS('Trade Log'!R:R,'Trade Log'!I:I,A82))</f>
        <v/>
      </c>
      <c r="K82" s="3">
        <f>IF(A82="","",I82-J82)</f>
        <v/>
      </c>
      <c r="L82" s="4">
        <f>IF(A82="","",IF(G82*F82=0,"",K82/(G82*F82)))</f>
        <v/>
      </c>
      <c r="M82">
        <f>IF(A82="","",E82-D82)</f>
        <v/>
      </c>
    </row>
    <row r="83">
      <c r="B83">
        <f>IF(A83="","",INDEX('Trade Log'!C:C,MATCH(A83,'Trade Log'!I:I,0)))</f>
        <v/>
      </c>
      <c r="C83">
        <f>IF(A83="","",INDEX('Trade Log'!E:E,MATCH(A83,'Trade Log'!I:I,0)))</f>
        <v/>
      </c>
      <c r="D83">
        <f>IF(A83="","",MINIFS('Trade Log'!B:B,'Trade Log'!I:I,A83,'Trade Log'!F:F,"BUY"))</f>
        <v/>
      </c>
      <c r="E83">
        <f>IF(A83="","",MAXIFS('Trade Log'!B:B,'Trade Log'!I:I,A83,'Trade Log'!F:F,"SELL"))</f>
        <v/>
      </c>
      <c r="F83" s="3">
        <f>IF(A83="","",MIN(SUMIFS('Trade Log'!G:G,'Trade Log'!I:I,A83,'Trade Log'!F:F,"BUY"),SUMIFS('Trade Log'!G:G,'Trade Log'!I:I,A83,'Trade Log'!F:F,"SELL")))</f>
        <v/>
      </c>
      <c r="G83" s="3">
        <f>IF(A83="","",SUMIFS('Trade Log'!K:K,'Trade Log'!I:I,A83,'Trade Log'!F:F,"BUY")/SUMIFS('Trade Log'!G:G,'Trade Log'!I:I,A83,'Trade Log'!F:F,"BUY"))</f>
        <v/>
      </c>
      <c r="H83" s="3">
        <f>IF(A83="","",SUMIFS('Trade Log'!K:K,'Trade Log'!I:I,A83,'Trade Log'!F:F,"SELL")/SUMIFS('Trade Log'!G:G,'Trade Log'!I:I,A83,'Trade Log'!F:F,"SELL"))</f>
        <v/>
      </c>
      <c r="I83" s="3">
        <f>IF(A83="","",(H83-G83)*F83)</f>
        <v/>
      </c>
      <c r="J83" s="3">
        <f>IF(A83="","",SUMIFS('Trade Log'!R:R,'Trade Log'!I:I,A83))</f>
        <v/>
      </c>
      <c r="K83" s="3">
        <f>IF(A83="","",I83-J83)</f>
        <v/>
      </c>
      <c r="L83" s="4">
        <f>IF(A83="","",IF(G83*F83=0,"",K83/(G83*F83)))</f>
        <v/>
      </c>
      <c r="M83">
        <f>IF(A83="","",E83-D83)</f>
        <v/>
      </c>
    </row>
    <row r="84">
      <c r="B84">
        <f>IF(A84="","",INDEX('Trade Log'!C:C,MATCH(A84,'Trade Log'!I:I,0)))</f>
        <v/>
      </c>
      <c r="C84">
        <f>IF(A84="","",INDEX('Trade Log'!E:E,MATCH(A84,'Trade Log'!I:I,0)))</f>
        <v/>
      </c>
      <c r="D84">
        <f>IF(A84="","",MINIFS('Trade Log'!B:B,'Trade Log'!I:I,A84,'Trade Log'!F:F,"BUY"))</f>
        <v/>
      </c>
      <c r="E84">
        <f>IF(A84="","",MAXIFS('Trade Log'!B:B,'Trade Log'!I:I,A84,'Trade Log'!F:F,"SELL"))</f>
        <v/>
      </c>
      <c r="F84" s="3">
        <f>IF(A84="","",MIN(SUMIFS('Trade Log'!G:G,'Trade Log'!I:I,A84,'Trade Log'!F:F,"BUY"),SUMIFS('Trade Log'!G:G,'Trade Log'!I:I,A84,'Trade Log'!F:F,"SELL")))</f>
        <v/>
      </c>
      <c r="G84" s="3">
        <f>IF(A84="","",SUMIFS('Trade Log'!K:K,'Trade Log'!I:I,A84,'Trade Log'!F:F,"BUY")/SUMIFS('Trade Log'!G:G,'Trade Log'!I:I,A84,'Trade Log'!F:F,"BUY"))</f>
        <v/>
      </c>
      <c r="H84" s="3">
        <f>IF(A84="","",SUMIFS('Trade Log'!K:K,'Trade Log'!I:I,A84,'Trade Log'!F:F,"SELL")/SUMIFS('Trade Log'!G:G,'Trade Log'!I:I,A84,'Trade Log'!F:F,"SELL"))</f>
        <v/>
      </c>
      <c r="I84" s="3">
        <f>IF(A84="","",(H84-G84)*F84)</f>
        <v/>
      </c>
      <c r="J84" s="3">
        <f>IF(A84="","",SUMIFS('Trade Log'!R:R,'Trade Log'!I:I,A84))</f>
        <v/>
      </c>
      <c r="K84" s="3">
        <f>IF(A84="","",I84-J84)</f>
        <v/>
      </c>
      <c r="L84" s="4">
        <f>IF(A84="","",IF(G84*F84=0,"",K84/(G84*F84)))</f>
        <v/>
      </c>
      <c r="M84">
        <f>IF(A84="","",E84-D84)</f>
        <v/>
      </c>
    </row>
    <row r="85">
      <c r="B85">
        <f>IF(A85="","",INDEX('Trade Log'!C:C,MATCH(A85,'Trade Log'!I:I,0)))</f>
        <v/>
      </c>
      <c r="C85">
        <f>IF(A85="","",INDEX('Trade Log'!E:E,MATCH(A85,'Trade Log'!I:I,0)))</f>
        <v/>
      </c>
      <c r="D85">
        <f>IF(A85="","",MINIFS('Trade Log'!B:B,'Trade Log'!I:I,A85,'Trade Log'!F:F,"BUY"))</f>
        <v/>
      </c>
      <c r="E85">
        <f>IF(A85="","",MAXIFS('Trade Log'!B:B,'Trade Log'!I:I,A85,'Trade Log'!F:F,"SELL"))</f>
        <v/>
      </c>
      <c r="F85" s="3">
        <f>IF(A85="","",MIN(SUMIFS('Trade Log'!G:G,'Trade Log'!I:I,A85,'Trade Log'!F:F,"BUY"),SUMIFS('Trade Log'!G:G,'Trade Log'!I:I,A85,'Trade Log'!F:F,"SELL")))</f>
        <v/>
      </c>
      <c r="G85" s="3">
        <f>IF(A85="","",SUMIFS('Trade Log'!K:K,'Trade Log'!I:I,A85,'Trade Log'!F:F,"BUY")/SUMIFS('Trade Log'!G:G,'Trade Log'!I:I,A85,'Trade Log'!F:F,"BUY"))</f>
        <v/>
      </c>
      <c r="H85" s="3">
        <f>IF(A85="","",SUMIFS('Trade Log'!K:K,'Trade Log'!I:I,A85,'Trade Log'!F:F,"SELL")/SUMIFS('Trade Log'!G:G,'Trade Log'!I:I,A85,'Trade Log'!F:F,"SELL"))</f>
        <v/>
      </c>
      <c r="I85" s="3">
        <f>IF(A85="","",(H85-G85)*F85)</f>
        <v/>
      </c>
      <c r="J85" s="3">
        <f>IF(A85="","",SUMIFS('Trade Log'!R:R,'Trade Log'!I:I,A85))</f>
        <v/>
      </c>
      <c r="K85" s="3">
        <f>IF(A85="","",I85-J85)</f>
        <v/>
      </c>
      <c r="L85" s="4">
        <f>IF(A85="","",IF(G85*F85=0,"",K85/(G85*F85)))</f>
        <v/>
      </c>
      <c r="M85">
        <f>IF(A85="","",E85-D85)</f>
        <v/>
      </c>
    </row>
    <row r="86">
      <c r="B86">
        <f>IF(A86="","",INDEX('Trade Log'!C:C,MATCH(A86,'Trade Log'!I:I,0)))</f>
        <v/>
      </c>
      <c r="C86">
        <f>IF(A86="","",INDEX('Trade Log'!E:E,MATCH(A86,'Trade Log'!I:I,0)))</f>
        <v/>
      </c>
      <c r="D86">
        <f>IF(A86="","",MINIFS('Trade Log'!B:B,'Trade Log'!I:I,A86,'Trade Log'!F:F,"BUY"))</f>
        <v/>
      </c>
      <c r="E86">
        <f>IF(A86="","",MAXIFS('Trade Log'!B:B,'Trade Log'!I:I,A86,'Trade Log'!F:F,"SELL"))</f>
        <v/>
      </c>
      <c r="F86" s="3">
        <f>IF(A86="","",MIN(SUMIFS('Trade Log'!G:G,'Trade Log'!I:I,A86,'Trade Log'!F:F,"BUY"),SUMIFS('Trade Log'!G:G,'Trade Log'!I:I,A86,'Trade Log'!F:F,"SELL")))</f>
        <v/>
      </c>
      <c r="G86" s="3">
        <f>IF(A86="","",SUMIFS('Trade Log'!K:K,'Trade Log'!I:I,A86,'Trade Log'!F:F,"BUY")/SUMIFS('Trade Log'!G:G,'Trade Log'!I:I,A86,'Trade Log'!F:F,"BUY"))</f>
        <v/>
      </c>
      <c r="H86" s="3">
        <f>IF(A86="","",SUMIFS('Trade Log'!K:K,'Trade Log'!I:I,A86,'Trade Log'!F:F,"SELL")/SUMIFS('Trade Log'!G:G,'Trade Log'!I:I,A86,'Trade Log'!F:F,"SELL"))</f>
        <v/>
      </c>
      <c r="I86" s="3">
        <f>IF(A86="","",(H86-G86)*F86)</f>
        <v/>
      </c>
      <c r="J86" s="3">
        <f>IF(A86="","",SUMIFS('Trade Log'!R:R,'Trade Log'!I:I,A86))</f>
        <v/>
      </c>
      <c r="K86" s="3">
        <f>IF(A86="","",I86-J86)</f>
        <v/>
      </c>
      <c r="L86" s="4">
        <f>IF(A86="","",IF(G86*F86=0,"",K86/(G86*F86)))</f>
        <v/>
      </c>
      <c r="M86">
        <f>IF(A86="","",E86-D86)</f>
        <v/>
      </c>
    </row>
    <row r="87">
      <c r="B87">
        <f>IF(A87="","",INDEX('Trade Log'!C:C,MATCH(A87,'Trade Log'!I:I,0)))</f>
        <v/>
      </c>
      <c r="C87">
        <f>IF(A87="","",INDEX('Trade Log'!E:E,MATCH(A87,'Trade Log'!I:I,0)))</f>
        <v/>
      </c>
      <c r="D87">
        <f>IF(A87="","",MINIFS('Trade Log'!B:B,'Trade Log'!I:I,A87,'Trade Log'!F:F,"BUY"))</f>
        <v/>
      </c>
      <c r="E87">
        <f>IF(A87="","",MAXIFS('Trade Log'!B:B,'Trade Log'!I:I,A87,'Trade Log'!F:F,"SELL"))</f>
        <v/>
      </c>
      <c r="F87" s="3">
        <f>IF(A87="","",MIN(SUMIFS('Trade Log'!G:G,'Trade Log'!I:I,A87,'Trade Log'!F:F,"BUY"),SUMIFS('Trade Log'!G:G,'Trade Log'!I:I,A87,'Trade Log'!F:F,"SELL")))</f>
        <v/>
      </c>
      <c r="G87" s="3">
        <f>IF(A87="","",SUMIFS('Trade Log'!K:K,'Trade Log'!I:I,A87,'Trade Log'!F:F,"BUY")/SUMIFS('Trade Log'!G:G,'Trade Log'!I:I,A87,'Trade Log'!F:F,"BUY"))</f>
        <v/>
      </c>
      <c r="H87" s="3">
        <f>IF(A87="","",SUMIFS('Trade Log'!K:K,'Trade Log'!I:I,A87,'Trade Log'!F:F,"SELL")/SUMIFS('Trade Log'!G:G,'Trade Log'!I:I,A87,'Trade Log'!F:F,"SELL"))</f>
        <v/>
      </c>
      <c r="I87" s="3">
        <f>IF(A87="","",(H87-G87)*F87)</f>
        <v/>
      </c>
      <c r="J87" s="3">
        <f>IF(A87="","",SUMIFS('Trade Log'!R:R,'Trade Log'!I:I,A87))</f>
        <v/>
      </c>
      <c r="K87" s="3">
        <f>IF(A87="","",I87-J87)</f>
        <v/>
      </c>
      <c r="L87" s="4">
        <f>IF(A87="","",IF(G87*F87=0,"",K87/(G87*F87)))</f>
        <v/>
      </c>
      <c r="M87">
        <f>IF(A87="","",E87-D87)</f>
        <v/>
      </c>
    </row>
    <row r="88">
      <c r="B88">
        <f>IF(A88="","",INDEX('Trade Log'!C:C,MATCH(A88,'Trade Log'!I:I,0)))</f>
        <v/>
      </c>
      <c r="C88">
        <f>IF(A88="","",INDEX('Trade Log'!E:E,MATCH(A88,'Trade Log'!I:I,0)))</f>
        <v/>
      </c>
      <c r="D88">
        <f>IF(A88="","",MINIFS('Trade Log'!B:B,'Trade Log'!I:I,A88,'Trade Log'!F:F,"BUY"))</f>
        <v/>
      </c>
      <c r="E88">
        <f>IF(A88="","",MAXIFS('Trade Log'!B:B,'Trade Log'!I:I,A88,'Trade Log'!F:F,"SELL"))</f>
        <v/>
      </c>
      <c r="F88" s="3">
        <f>IF(A88="","",MIN(SUMIFS('Trade Log'!G:G,'Trade Log'!I:I,A88,'Trade Log'!F:F,"BUY"),SUMIFS('Trade Log'!G:G,'Trade Log'!I:I,A88,'Trade Log'!F:F,"SELL")))</f>
        <v/>
      </c>
      <c r="G88" s="3">
        <f>IF(A88="","",SUMIFS('Trade Log'!K:K,'Trade Log'!I:I,A88,'Trade Log'!F:F,"BUY")/SUMIFS('Trade Log'!G:G,'Trade Log'!I:I,A88,'Trade Log'!F:F,"BUY"))</f>
        <v/>
      </c>
      <c r="H88" s="3">
        <f>IF(A88="","",SUMIFS('Trade Log'!K:K,'Trade Log'!I:I,A88,'Trade Log'!F:F,"SELL")/SUMIFS('Trade Log'!G:G,'Trade Log'!I:I,A88,'Trade Log'!F:F,"SELL"))</f>
        <v/>
      </c>
      <c r="I88" s="3">
        <f>IF(A88="","",(H88-G88)*F88)</f>
        <v/>
      </c>
      <c r="J88" s="3">
        <f>IF(A88="","",SUMIFS('Trade Log'!R:R,'Trade Log'!I:I,A88))</f>
        <v/>
      </c>
      <c r="K88" s="3">
        <f>IF(A88="","",I88-J88)</f>
        <v/>
      </c>
      <c r="L88" s="4">
        <f>IF(A88="","",IF(G88*F88=0,"",K88/(G88*F88)))</f>
        <v/>
      </c>
      <c r="M88">
        <f>IF(A88="","",E88-D88)</f>
        <v/>
      </c>
    </row>
    <row r="89">
      <c r="B89">
        <f>IF(A89="","",INDEX('Trade Log'!C:C,MATCH(A89,'Trade Log'!I:I,0)))</f>
        <v/>
      </c>
      <c r="C89">
        <f>IF(A89="","",INDEX('Trade Log'!E:E,MATCH(A89,'Trade Log'!I:I,0)))</f>
        <v/>
      </c>
      <c r="D89">
        <f>IF(A89="","",MINIFS('Trade Log'!B:B,'Trade Log'!I:I,A89,'Trade Log'!F:F,"BUY"))</f>
        <v/>
      </c>
      <c r="E89">
        <f>IF(A89="","",MAXIFS('Trade Log'!B:B,'Trade Log'!I:I,A89,'Trade Log'!F:F,"SELL"))</f>
        <v/>
      </c>
      <c r="F89" s="3">
        <f>IF(A89="","",MIN(SUMIFS('Trade Log'!G:G,'Trade Log'!I:I,A89,'Trade Log'!F:F,"BUY"),SUMIFS('Trade Log'!G:G,'Trade Log'!I:I,A89,'Trade Log'!F:F,"SELL")))</f>
        <v/>
      </c>
      <c r="G89" s="3">
        <f>IF(A89="","",SUMIFS('Trade Log'!K:K,'Trade Log'!I:I,A89,'Trade Log'!F:F,"BUY")/SUMIFS('Trade Log'!G:G,'Trade Log'!I:I,A89,'Trade Log'!F:F,"BUY"))</f>
        <v/>
      </c>
      <c r="H89" s="3">
        <f>IF(A89="","",SUMIFS('Trade Log'!K:K,'Trade Log'!I:I,A89,'Trade Log'!F:F,"SELL")/SUMIFS('Trade Log'!G:G,'Trade Log'!I:I,A89,'Trade Log'!F:F,"SELL"))</f>
        <v/>
      </c>
      <c r="I89" s="3">
        <f>IF(A89="","",(H89-G89)*F89)</f>
        <v/>
      </c>
      <c r="J89" s="3">
        <f>IF(A89="","",SUMIFS('Trade Log'!R:R,'Trade Log'!I:I,A89))</f>
        <v/>
      </c>
      <c r="K89" s="3">
        <f>IF(A89="","",I89-J89)</f>
        <v/>
      </c>
      <c r="L89" s="4">
        <f>IF(A89="","",IF(G89*F89=0,"",K89/(G89*F89)))</f>
        <v/>
      </c>
      <c r="M89">
        <f>IF(A89="","",E89-D89)</f>
        <v/>
      </c>
    </row>
    <row r="90">
      <c r="B90">
        <f>IF(A90="","",INDEX('Trade Log'!C:C,MATCH(A90,'Trade Log'!I:I,0)))</f>
        <v/>
      </c>
      <c r="C90">
        <f>IF(A90="","",INDEX('Trade Log'!E:E,MATCH(A90,'Trade Log'!I:I,0)))</f>
        <v/>
      </c>
      <c r="D90">
        <f>IF(A90="","",MINIFS('Trade Log'!B:B,'Trade Log'!I:I,A90,'Trade Log'!F:F,"BUY"))</f>
        <v/>
      </c>
      <c r="E90">
        <f>IF(A90="","",MAXIFS('Trade Log'!B:B,'Trade Log'!I:I,A90,'Trade Log'!F:F,"SELL"))</f>
        <v/>
      </c>
      <c r="F90" s="3">
        <f>IF(A90="","",MIN(SUMIFS('Trade Log'!G:G,'Trade Log'!I:I,A90,'Trade Log'!F:F,"BUY"),SUMIFS('Trade Log'!G:G,'Trade Log'!I:I,A90,'Trade Log'!F:F,"SELL")))</f>
        <v/>
      </c>
      <c r="G90" s="3">
        <f>IF(A90="","",SUMIFS('Trade Log'!K:K,'Trade Log'!I:I,A90,'Trade Log'!F:F,"BUY")/SUMIFS('Trade Log'!G:G,'Trade Log'!I:I,A90,'Trade Log'!F:F,"BUY"))</f>
        <v/>
      </c>
      <c r="H90" s="3">
        <f>IF(A90="","",SUMIFS('Trade Log'!K:K,'Trade Log'!I:I,A90,'Trade Log'!F:F,"SELL")/SUMIFS('Trade Log'!G:G,'Trade Log'!I:I,A90,'Trade Log'!F:F,"SELL"))</f>
        <v/>
      </c>
      <c r="I90" s="3">
        <f>IF(A90="","",(H90-G90)*F90)</f>
        <v/>
      </c>
      <c r="J90" s="3">
        <f>IF(A90="","",SUMIFS('Trade Log'!R:R,'Trade Log'!I:I,A90))</f>
        <v/>
      </c>
      <c r="K90" s="3">
        <f>IF(A90="","",I90-J90)</f>
        <v/>
      </c>
      <c r="L90" s="4">
        <f>IF(A90="","",IF(G90*F90=0,"",K90/(G90*F90)))</f>
        <v/>
      </c>
      <c r="M90">
        <f>IF(A90="","",E90-D90)</f>
        <v/>
      </c>
    </row>
    <row r="91">
      <c r="B91">
        <f>IF(A91="","",INDEX('Trade Log'!C:C,MATCH(A91,'Trade Log'!I:I,0)))</f>
        <v/>
      </c>
      <c r="C91">
        <f>IF(A91="","",INDEX('Trade Log'!E:E,MATCH(A91,'Trade Log'!I:I,0)))</f>
        <v/>
      </c>
      <c r="D91">
        <f>IF(A91="","",MINIFS('Trade Log'!B:B,'Trade Log'!I:I,A91,'Trade Log'!F:F,"BUY"))</f>
        <v/>
      </c>
      <c r="E91">
        <f>IF(A91="","",MAXIFS('Trade Log'!B:B,'Trade Log'!I:I,A91,'Trade Log'!F:F,"SELL"))</f>
        <v/>
      </c>
      <c r="F91" s="3">
        <f>IF(A91="","",MIN(SUMIFS('Trade Log'!G:G,'Trade Log'!I:I,A91,'Trade Log'!F:F,"BUY"),SUMIFS('Trade Log'!G:G,'Trade Log'!I:I,A91,'Trade Log'!F:F,"SELL")))</f>
        <v/>
      </c>
      <c r="G91" s="3">
        <f>IF(A91="","",SUMIFS('Trade Log'!K:K,'Trade Log'!I:I,A91,'Trade Log'!F:F,"BUY")/SUMIFS('Trade Log'!G:G,'Trade Log'!I:I,A91,'Trade Log'!F:F,"BUY"))</f>
        <v/>
      </c>
      <c r="H91" s="3">
        <f>IF(A91="","",SUMIFS('Trade Log'!K:K,'Trade Log'!I:I,A91,'Trade Log'!F:F,"SELL")/SUMIFS('Trade Log'!G:G,'Trade Log'!I:I,A91,'Trade Log'!F:F,"SELL"))</f>
        <v/>
      </c>
      <c r="I91" s="3">
        <f>IF(A91="","",(H91-G91)*F91)</f>
        <v/>
      </c>
      <c r="J91" s="3">
        <f>IF(A91="","",SUMIFS('Trade Log'!R:R,'Trade Log'!I:I,A91))</f>
        <v/>
      </c>
      <c r="K91" s="3">
        <f>IF(A91="","",I91-J91)</f>
        <v/>
      </c>
      <c r="L91" s="4">
        <f>IF(A91="","",IF(G91*F91=0,"",K91/(G91*F91)))</f>
        <v/>
      </c>
      <c r="M91">
        <f>IF(A91="","",E91-D91)</f>
        <v/>
      </c>
    </row>
    <row r="92">
      <c r="B92">
        <f>IF(A92="","",INDEX('Trade Log'!C:C,MATCH(A92,'Trade Log'!I:I,0)))</f>
        <v/>
      </c>
      <c r="C92">
        <f>IF(A92="","",INDEX('Trade Log'!E:E,MATCH(A92,'Trade Log'!I:I,0)))</f>
        <v/>
      </c>
      <c r="D92">
        <f>IF(A92="","",MINIFS('Trade Log'!B:B,'Trade Log'!I:I,A92,'Trade Log'!F:F,"BUY"))</f>
        <v/>
      </c>
      <c r="E92">
        <f>IF(A92="","",MAXIFS('Trade Log'!B:B,'Trade Log'!I:I,A92,'Trade Log'!F:F,"SELL"))</f>
        <v/>
      </c>
      <c r="F92" s="3">
        <f>IF(A92="","",MIN(SUMIFS('Trade Log'!G:G,'Trade Log'!I:I,A92,'Trade Log'!F:F,"BUY"),SUMIFS('Trade Log'!G:G,'Trade Log'!I:I,A92,'Trade Log'!F:F,"SELL")))</f>
        <v/>
      </c>
      <c r="G92" s="3">
        <f>IF(A92="","",SUMIFS('Trade Log'!K:K,'Trade Log'!I:I,A92,'Trade Log'!F:F,"BUY")/SUMIFS('Trade Log'!G:G,'Trade Log'!I:I,A92,'Trade Log'!F:F,"BUY"))</f>
        <v/>
      </c>
      <c r="H92" s="3">
        <f>IF(A92="","",SUMIFS('Trade Log'!K:K,'Trade Log'!I:I,A92,'Trade Log'!F:F,"SELL")/SUMIFS('Trade Log'!G:G,'Trade Log'!I:I,A92,'Trade Log'!F:F,"SELL"))</f>
        <v/>
      </c>
      <c r="I92" s="3">
        <f>IF(A92="","",(H92-G92)*F92)</f>
        <v/>
      </c>
      <c r="J92" s="3">
        <f>IF(A92="","",SUMIFS('Trade Log'!R:R,'Trade Log'!I:I,A92))</f>
        <v/>
      </c>
      <c r="K92" s="3">
        <f>IF(A92="","",I92-J92)</f>
        <v/>
      </c>
      <c r="L92" s="4">
        <f>IF(A92="","",IF(G92*F92=0,"",K92/(G92*F92)))</f>
        <v/>
      </c>
      <c r="M92">
        <f>IF(A92="","",E92-D92)</f>
        <v/>
      </c>
    </row>
    <row r="93">
      <c r="B93">
        <f>IF(A93="","",INDEX('Trade Log'!C:C,MATCH(A93,'Trade Log'!I:I,0)))</f>
        <v/>
      </c>
      <c r="C93">
        <f>IF(A93="","",INDEX('Trade Log'!E:E,MATCH(A93,'Trade Log'!I:I,0)))</f>
        <v/>
      </c>
      <c r="D93">
        <f>IF(A93="","",MINIFS('Trade Log'!B:B,'Trade Log'!I:I,A93,'Trade Log'!F:F,"BUY"))</f>
        <v/>
      </c>
      <c r="E93">
        <f>IF(A93="","",MAXIFS('Trade Log'!B:B,'Trade Log'!I:I,A93,'Trade Log'!F:F,"SELL"))</f>
        <v/>
      </c>
      <c r="F93" s="3">
        <f>IF(A93="","",MIN(SUMIFS('Trade Log'!G:G,'Trade Log'!I:I,A93,'Trade Log'!F:F,"BUY"),SUMIFS('Trade Log'!G:G,'Trade Log'!I:I,A93,'Trade Log'!F:F,"SELL")))</f>
        <v/>
      </c>
      <c r="G93" s="3">
        <f>IF(A93="","",SUMIFS('Trade Log'!K:K,'Trade Log'!I:I,A93,'Trade Log'!F:F,"BUY")/SUMIFS('Trade Log'!G:G,'Trade Log'!I:I,A93,'Trade Log'!F:F,"BUY"))</f>
        <v/>
      </c>
      <c r="H93" s="3">
        <f>IF(A93="","",SUMIFS('Trade Log'!K:K,'Trade Log'!I:I,A93,'Trade Log'!F:F,"SELL")/SUMIFS('Trade Log'!G:G,'Trade Log'!I:I,A93,'Trade Log'!F:F,"SELL"))</f>
        <v/>
      </c>
      <c r="I93" s="3">
        <f>IF(A93="","",(H93-G93)*F93)</f>
        <v/>
      </c>
      <c r="J93" s="3">
        <f>IF(A93="","",SUMIFS('Trade Log'!R:R,'Trade Log'!I:I,A93))</f>
        <v/>
      </c>
      <c r="K93" s="3">
        <f>IF(A93="","",I93-J93)</f>
        <v/>
      </c>
      <c r="L93" s="4">
        <f>IF(A93="","",IF(G93*F93=0,"",K93/(G93*F93)))</f>
        <v/>
      </c>
      <c r="M93">
        <f>IF(A93="","",E93-D93)</f>
        <v/>
      </c>
    </row>
    <row r="94">
      <c r="B94">
        <f>IF(A94="","",INDEX('Trade Log'!C:C,MATCH(A94,'Trade Log'!I:I,0)))</f>
        <v/>
      </c>
      <c r="C94">
        <f>IF(A94="","",INDEX('Trade Log'!E:E,MATCH(A94,'Trade Log'!I:I,0)))</f>
        <v/>
      </c>
      <c r="D94">
        <f>IF(A94="","",MINIFS('Trade Log'!B:B,'Trade Log'!I:I,A94,'Trade Log'!F:F,"BUY"))</f>
        <v/>
      </c>
      <c r="E94">
        <f>IF(A94="","",MAXIFS('Trade Log'!B:B,'Trade Log'!I:I,A94,'Trade Log'!F:F,"SELL"))</f>
        <v/>
      </c>
      <c r="F94" s="3">
        <f>IF(A94="","",MIN(SUMIFS('Trade Log'!G:G,'Trade Log'!I:I,A94,'Trade Log'!F:F,"BUY"),SUMIFS('Trade Log'!G:G,'Trade Log'!I:I,A94,'Trade Log'!F:F,"SELL")))</f>
        <v/>
      </c>
      <c r="G94" s="3">
        <f>IF(A94="","",SUMIFS('Trade Log'!K:K,'Trade Log'!I:I,A94,'Trade Log'!F:F,"BUY")/SUMIFS('Trade Log'!G:G,'Trade Log'!I:I,A94,'Trade Log'!F:F,"BUY"))</f>
        <v/>
      </c>
      <c r="H94" s="3">
        <f>IF(A94="","",SUMIFS('Trade Log'!K:K,'Trade Log'!I:I,A94,'Trade Log'!F:F,"SELL")/SUMIFS('Trade Log'!G:G,'Trade Log'!I:I,A94,'Trade Log'!F:F,"SELL"))</f>
        <v/>
      </c>
      <c r="I94" s="3">
        <f>IF(A94="","",(H94-G94)*F94)</f>
        <v/>
      </c>
      <c r="J94" s="3">
        <f>IF(A94="","",SUMIFS('Trade Log'!R:R,'Trade Log'!I:I,A94))</f>
        <v/>
      </c>
      <c r="K94" s="3">
        <f>IF(A94="","",I94-J94)</f>
        <v/>
      </c>
      <c r="L94" s="4">
        <f>IF(A94="","",IF(G94*F94=0,"",K94/(G94*F94)))</f>
        <v/>
      </c>
      <c r="M94">
        <f>IF(A94="","",E94-D94)</f>
        <v/>
      </c>
    </row>
    <row r="95">
      <c r="B95">
        <f>IF(A95="","",INDEX('Trade Log'!C:C,MATCH(A95,'Trade Log'!I:I,0)))</f>
        <v/>
      </c>
      <c r="C95">
        <f>IF(A95="","",INDEX('Trade Log'!E:E,MATCH(A95,'Trade Log'!I:I,0)))</f>
        <v/>
      </c>
      <c r="D95">
        <f>IF(A95="","",MINIFS('Trade Log'!B:B,'Trade Log'!I:I,A95,'Trade Log'!F:F,"BUY"))</f>
        <v/>
      </c>
      <c r="E95">
        <f>IF(A95="","",MAXIFS('Trade Log'!B:B,'Trade Log'!I:I,A95,'Trade Log'!F:F,"SELL"))</f>
        <v/>
      </c>
      <c r="F95" s="3">
        <f>IF(A95="","",MIN(SUMIFS('Trade Log'!G:G,'Trade Log'!I:I,A95,'Trade Log'!F:F,"BUY"),SUMIFS('Trade Log'!G:G,'Trade Log'!I:I,A95,'Trade Log'!F:F,"SELL")))</f>
        <v/>
      </c>
      <c r="G95" s="3">
        <f>IF(A95="","",SUMIFS('Trade Log'!K:K,'Trade Log'!I:I,A95,'Trade Log'!F:F,"BUY")/SUMIFS('Trade Log'!G:G,'Trade Log'!I:I,A95,'Trade Log'!F:F,"BUY"))</f>
        <v/>
      </c>
      <c r="H95" s="3">
        <f>IF(A95="","",SUMIFS('Trade Log'!K:K,'Trade Log'!I:I,A95,'Trade Log'!F:F,"SELL")/SUMIFS('Trade Log'!G:G,'Trade Log'!I:I,A95,'Trade Log'!F:F,"SELL"))</f>
        <v/>
      </c>
      <c r="I95" s="3">
        <f>IF(A95="","",(H95-G95)*F95)</f>
        <v/>
      </c>
      <c r="J95" s="3">
        <f>IF(A95="","",SUMIFS('Trade Log'!R:R,'Trade Log'!I:I,A95))</f>
        <v/>
      </c>
      <c r="K95" s="3">
        <f>IF(A95="","",I95-J95)</f>
        <v/>
      </c>
      <c r="L95" s="4">
        <f>IF(A95="","",IF(G95*F95=0,"",K95/(G95*F95)))</f>
        <v/>
      </c>
      <c r="M95">
        <f>IF(A95="","",E95-D95)</f>
        <v/>
      </c>
    </row>
    <row r="96">
      <c r="B96">
        <f>IF(A96="","",INDEX('Trade Log'!C:C,MATCH(A96,'Trade Log'!I:I,0)))</f>
        <v/>
      </c>
      <c r="C96">
        <f>IF(A96="","",INDEX('Trade Log'!E:E,MATCH(A96,'Trade Log'!I:I,0)))</f>
        <v/>
      </c>
      <c r="D96">
        <f>IF(A96="","",MINIFS('Trade Log'!B:B,'Trade Log'!I:I,A96,'Trade Log'!F:F,"BUY"))</f>
        <v/>
      </c>
      <c r="E96">
        <f>IF(A96="","",MAXIFS('Trade Log'!B:B,'Trade Log'!I:I,A96,'Trade Log'!F:F,"SELL"))</f>
        <v/>
      </c>
      <c r="F96" s="3">
        <f>IF(A96="","",MIN(SUMIFS('Trade Log'!G:G,'Trade Log'!I:I,A96,'Trade Log'!F:F,"BUY"),SUMIFS('Trade Log'!G:G,'Trade Log'!I:I,A96,'Trade Log'!F:F,"SELL")))</f>
        <v/>
      </c>
      <c r="G96" s="3">
        <f>IF(A96="","",SUMIFS('Trade Log'!K:K,'Trade Log'!I:I,A96,'Trade Log'!F:F,"BUY")/SUMIFS('Trade Log'!G:G,'Trade Log'!I:I,A96,'Trade Log'!F:F,"BUY"))</f>
        <v/>
      </c>
      <c r="H96" s="3">
        <f>IF(A96="","",SUMIFS('Trade Log'!K:K,'Trade Log'!I:I,A96,'Trade Log'!F:F,"SELL")/SUMIFS('Trade Log'!G:G,'Trade Log'!I:I,A96,'Trade Log'!F:F,"SELL"))</f>
        <v/>
      </c>
      <c r="I96" s="3">
        <f>IF(A96="","",(H96-G96)*F96)</f>
        <v/>
      </c>
      <c r="J96" s="3">
        <f>IF(A96="","",SUMIFS('Trade Log'!R:R,'Trade Log'!I:I,A96))</f>
        <v/>
      </c>
      <c r="K96" s="3">
        <f>IF(A96="","",I96-J96)</f>
        <v/>
      </c>
      <c r="L96" s="4">
        <f>IF(A96="","",IF(G96*F96=0,"",K96/(G96*F96)))</f>
        <v/>
      </c>
      <c r="M96">
        <f>IF(A96="","",E96-D96)</f>
        <v/>
      </c>
    </row>
    <row r="97">
      <c r="B97">
        <f>IF(A97="","",INDEX('Trade Log'!C:C,MATCH(A97,'Trade Log'!I:I,0)))</f>
        <v/>
      </c>
      <c r="C97">
        <f>IF(A97="","",INDEX('Trade Log'!E:E,MATCH(A97,'Trade Log'!I:I,0)))</f>
        <v/>
      </c>
      <c r="D97">
        <f>IF(A97="","",MINIFS('Trade Log'!B:B,'Trade Log'!I:I,A97,'Trade Log'!F:F,"BUY"))</f>
        <v/>
      </c>
      <c r="E97">
        <f>IF(A97="","",MAXIFS('Trade Log'!B:B,'Trade Log'!I:I,A97,'Trade Log'!F:F,"SELL"))</f>
        <v/>
      </c>
      <c r="F97" s="3">
        <f>IF(A97="","",MIN(SUMIFS('Trade Log'!G:G,'Trade Log'!I:I,A97,'Trade Log'!F:F,"BUY"),SUMIFS('Trade Log'!G:G,'Trade Log'!I:I,A97,'Trade Log'!F:F,"SELL")))</f>
        <v/>
      </c>
      <c r="G97" s="3">
        <f>IF(A97="","",SUMIFS('Trade Log'!K:K,'Trade Log'!I:I,A97,'Trade Log'!F:F,"BUY")/SUMIFS('Trade Log'!G:G,'Trade Log'!I:I,A97,'Trade Log'!F:F,"BUY"))</f>
        <v/>
      </c>
      <c r="H97" s="3">
        <f>IF(A97="","",SUMIFS('Trade Log'!K:K,'Trade Log'!I:I,A97,'Trade Log'!F:F,"SELL")/SUMIFS('Trade Log'!G:G,'Trade Log'!I:I,A97,'Trade Log'!F:F,"SELL"))</f>
        <v/>
      </c>
      <c r="I97" s="3">
        <f>IF(A97="","",(H97-G97)*F97)</f>
        <v/>
      </c>
      <c r="J97" s="3">
        <f>IF(A97="","",SUMIFS('Trade Log'!R:R,'Trade Log'!I:I,A97))</f>
        <v/>
      </c>
      <c r="K97" s="3">
        <f>IF(A97="","",I97-J97)</f>
        <v/>
      </c>
      <c r="L97" s="4">
        <f>IF(A97="","",IF(G97*F97=0,"",K97/(G97*F97)))</f>
        <v/>
      </c>
      <c r="M97">
        <f>IF(A97="","",E97-D97)</f>
        <v/>
      </c>
    </row>
    <row r="98">
      <c r="B98">
        <f>IF(A98="","",INDEX('Trade Log'!C:C,MATCH(A98,'Trade Log'!I:I,0)))</f>
        <v/>
      </c>
      <c r="C98">
        <f>IF(A98="","",INDEX('Trade Log'!E:E,MATCH(A98,'Trade Log'!I:I,0)))</f>
        <v/>
      </c>
      <c r="D98">
        <f>IF(A98="","",MINIFS('Trade Log'!B:B,'Trade Log'!I:I,A98,'Trade Log'!F:F,"BUY"))</f>
        <v/>
      </c>
      <c r="E98">
        <f>IF(A98="","",MAXIFS('Trade Log'!B:B,'Trade Log'!I:I,A98,'Trade Log'!F:F,"SELL"))</f>
        <v/>
      </c>
      <c r="F98" s="3">
        <f>IF(A98="","",MIN(SUMIFS('Trade Log'!G:G,'Trade Log'!I:I,A98,'Trade Log'!F:F,"BUY"),SUMIFS('Trade Log'!G:G,'Trade Log'!I:I,A98,'Trade Log'!F:F,"SELL")))</f>
        <v/>
      </c>
      <c r="G98" s="3">
        <f>IF(A98="","",SUMIFS('Trade Log'!K:K,'Trade Log'!I:I,A98,'Trade Log'!F:F,"BUY")/SUMIFS('Trade Log'!G:G,'Trade Log'!I:I,A98,'Trade Log'!F:F,"BUY"))</f>
        <v/>
      </c>
      <c r="H98" s="3">
        <f>IF(A98="","",SUMIFS('Trade Log'!K:K,'Trade Log'!I:I,A98,'Trade Log'!F:F,"SELL")/SUMIFS('Trade Log'!G:G,'Trade Log'!I:I,A98,'Trade Log'!F:F,"SELL"))</f>
        <v/>
      </c>
      <c r="I98" s="3">
        <f>IF(A98="","",(H98-G98)*F98)</f>
        <v/>
      </c>
      <c r="J98" s="3">
        <f>IF(A98="","",SUMIFS('Trade Log'!R:R,'Trade Log'!I:I,A98))</f>
        <v/>
      </c>
      <c r="K98" s="3">
        <f>IF(A98="","",I98-J98)</f>
        <v/>
      </c>
      <c r="L98" s="4">
        <f>IF(A98="","",IF(G98*F98=0,"",K98/(G98*F98)))</f>
        <v/>
      </c>
      <c r="M98">
        <f>IF(A98="","",E98-D98)</f>
        <v/>
      </c>
    </row>
    <row r="99">
      <c r="B99">
        <f>IF(A99="","",INDEX('Trade Log'!C:C,MATCH(A99,'Trade Log'!I:I,0)))</f>
        <v/>
      </c>
      <c r="C99">
        <f>IF(A99="","",INDEX('Trade Log'!E:E,MATCH(A99,'Trade Log'!I:I,0)))</f>
        <v/>
      </c>
      <c r="D99">
        <f>IF(A99="","",MINIFS('Trade Log'!B:B,'Trade Log'!I:I,A99,'Trade Log'!F:F,"BUY"))</f>
        <v/>
      </c>
      <c r="E99">
        <f>IF(A99="","",MAXIFS('Trade Log'!B:B,'Trade Log'!I:I,A99,'Trade Log'!F:F,"SELL"))</f>
        <v/>
      </c>
      <c r="F99" s="3">
        <f>IF(A99="","",MIN(SUMIFS('Trade Log'!G:G,'Trade Log'!I:I,A99,'Trade Log'!F:F,"BUY"),SUMIFS('Trade Log'!G:G,'Trade Log'!I:I,A99,'Trade Log'!F:F,"SELL")))</f>
        <v/>
      </c>
      <c r="G99" s="3">
        <f>IF(A99="","",SUMIFS('Trade Log'!K:K,'Trade Log'!I:I,A99,'Trade Log'!F:F,"BUY")/SUMIFS('Trade Log'!G:G,'Trade Log'!I:I,A99,'Trade Log'!F:F,"BUY"))</f>
        <v/>
      </c>
      <c r="H99" s="3">
        <f>IF(A99="","",SUMIFS('Trade Log'!K:K,'Trade Log'!I:I,A99,'Trade Log'!F:F,"SELL")/SUMIFS('Trade Log'!G:G,'Trade Log'!I:I,A99,'Trade Log'!F:F,"SELL"))</f>
        <v/>
      </c>
      <c r="I99" s="3">
        <f>IF(A99="","",(H99-G99)*F99)</f>
        <v/>
      </c>
      <c r="J99" s="3">
        <f>IF(A99="","",SUMIFS('Trade Log'!R:R,'Trade Log'!I:I,A99))</f>
        <v/>
      </c>
      <c r="K99" s="3">
        <f>IF(A99="","",I99-J99)</f>
        <v/>
      </c>
      <c r="L99" s="4">
        <f>IF(A99="","",IF(G99*F99=0,"",K99/(G99*F99)))</f>
        <v/>
      </c>
      <c r="M99">
        <f>IF(A99="","",E99-D99)</f>
        <v/>
      </c>
    </row>
    <row r="100">
      <c r="B100">
        <f>IF(A100="","",INDEX('Trade Log'!C:C,MATCH(A100,'Trade Log'!I:I,0)))</f>
        <v/>
      </c>
      <c r="C100">
        <f>IF(A100="","",INDEX('Trade Log'!E:E,MATCH(A100,'Trade Log'!I:I,0)))</f>
        <v/>
      </c>
      <c r="D100">
        <f>IF(A100="","",MINIFS('Trade Log'!B:B,'Trade Log'!I:I,A100,'Trade Log'!F:F,"BUY"))</f>
        <v/>
      </c>
      <c r="E100">
        <f>IF(A100="","",MAXIFS('Trade Log'!B:B,'Trade Log'!I:I,A100,'Trade Log'!F:F,"SELL"))</f>
        <v/>
      </c>
      <c r="F100" s="3">
        <f>IF(A100="","",MIN(SUMIFS('Trade Log'!G:G,'Trade Log'!I:I,A100,'Trade Log'!F:F,"BUY"),SUMIFS('Trade Log'!G:G,'Trade Log'!I:I,A100,'Trade Log'!F:F,"SELL")))</f>
        <v/>
      </c>
      <c r="G100" s="3">
        <f>IF(A100="","",SUMIFS('Trade Log'!K:K,'Trade Log'!I:I,A100,'Trade Log'!F:F,"BUY")/SUMIFS('Trade Log'!G:G,'Trade Log'!I:I,A100,'Trade Log'!F:F,"BUY"))</f>
        <v/>
      </c>
      <c r="H100" s="3">
        <f>IF(A100="","",SUMIFS('Trade Log'!K:K,'Trade Log'!I:I,A100,'Trade Log'!F:F,"SELL")/SUMIFS('Trade Log'!G:G,'Trade Log'!I:I,A100,'Trade Log'!F:F,"SELL"))</f>
        <v/>
      </c>
      <c r="I100" s="3">
        <f>IF(A100="","",(H100-G100)*F100)</f>
        <v/>
      </c>
      <c r="J100" s="3">
        <f>IF(A100="","",SUMIFS('Trade Log'!R:R,'Trade Log'!I:I,A100))</f>
        <v/>
      </c>
      <c r="K100" s="3">
        <f>IF(A100="","",I100-J100)</f>
        <v/>
      </c>
      <c r="L100" s="4">
        <f>IF(A100="","",IF(G100*F100=0,"",K100/(G100*F100)))</f>
        <v/>
      </c>
      <c r="M100">
        <f>IF(A100="","",E100-D100)</f>
        <v/>
      </c>
    </row>
    <row r="101">
      <c r="B101">
        <f>IF(A101="","",INDEX('Trade Log'!C:C,MATCH(A101,'Trade Log'!I:I,0)))</f>
        <v/>
      </c>
      <c r="C101">
        <f>IF(A101="","",INDEX('Trade Log'!E:E,MATCH(A101,'Trade Log'!I:I,0)))</f>
        <v/>
      </c>
      <c r="D101">
        <f>IF(A101="","",MINIFS('Trade Log'!B:B,'Trade Log'!I:I,A101,'Trade Log'!F:F,"BUY"))</f>
        <v/>
      </c>
      <c r="E101">
        <f>IF(A101="","",MAXIFS('Trade Log'!B:B,'Trade Log'!I:I,A101,'Trade Log'!F:F,"SELL"))</f>
        <v/>
      </c>
      <c r="F101" s="3">
        <f>IF(A101="","",MIN(SUMIFS('Trade Log'!G:G,'Trade Log'!I:I,A101,'Trade Log'!F:F,"BUY"),SUMIFS('Trade Log'!G:G,'Trade Log'!I:I,A101,'Trade Log'!F:F,"SELL")))</f>
        <v/>
      </c>
      <c r="G101" s="3">
        <f>IF(A101="","",SUMIFS('Trade Log'!K:K,'Trade Log'!I:I,A101,'Trade Log'!F:F,"BUY")/SUMIFS('Trade Log'!G:G,'Trade Log'!I:I,A101,'Trade Log'!F:F,"BUY"))</f>
        <v/>
      </c>
      <c r="H101" s="3">
        <f>IF(A101="","",SUMIFS('Trade Log'!K:K,'Trade Log'!I:I,A101,'Trade Log'!F:F,"SELL")/SUMIFS('Trade Log'!G:G,'Trade Log'!I:I,A101,'Trade Log'!F:F,"SELL"))</f>
        <v/>
      </c>
      <c r="I101" s="3">
        <f>IF(A101="","",(H101-G101)*F101)</f>
        <v/>
      </c>
      <c r="J101" s="3">
        <f>IF(A101="","",SUMIFS('Trade Log'!R:R,'Trade Log'!I:I,A101))</f>
        <v/>
      </c>
      <c r="K101" s="3">
        <f>IF(A101="","",I101-J101)</f>
        <v/>
      </c>
      <c r="L101" s="4">
        <f>IF(A101="","",IF(G101*F101=0,"",K101/(G101*F101)))</f>
        <v/>
      </c>
      <c r="M101">
        <f>IF(A101="","",E101-D101)</f>
        <v/>
      </c>
    </row>
    <row r="102">
      <c r="B102">
        <f>IF(A102="","",INDEX('Trade Log'!C:C,MATCH(A102,'Trade Log'!I:I,0)))</f>
        <v/>
      </c>
      <c r="C102">
        <f>IF(A102="","",INDEX('Trade Log'!E:E,MATCH(A102,'Trade Log'!I:I,0)))</f>
        <v/>
      </c>
      <c r="D102">
        <f>IF(A102="","",MINIFS('Trade Log'!B:B,'Trade Log'!I:I,A102,'Trade Log'!F:F,"BUY"))</f>
        <v/>
      </c>
      <c r="E102">
        <f>IF(A102="","",MAXIFS('Trade Log'!B:B,'Trade Log'!I:I,A102,'Trade Log'!F:F,"SELL"))</f>
        <v/>
      </c>
      <c r="F102" s="3">
        <f>IF(A102="","",MIN(SUMIFS('Trade Log'!G:G,'Trade Log'!I:I,A102,'Trade Log'!F:F,"BUY"),SUMIFS('Trade Log'!G:G,'Trade Log'!I:I,A102,'Trade Log'!F:F,"SELL")))</f>
        <v/>
      </c>
      <c r="G102" s="3">
        <f>IF(A102="","",SUMIFS('Trade Log'!K:K,'Trade Log'!I:I,A102,'Trade Log'!F:F,"BUY")/SUMIFS('Trade Log'!G:G,'Trade Log'!I:I,A102,'Trade Log'!F:F,"BUY"))</f>
        <v/>
      </c>
      <c r="H102" s="3">
        <f>IF(A102="","",SUMIFS('Trade Log'!K:K,'Trade Log'!I:I,A102,'Trade Log'!F:F,"SELL")/SUMIFS('Trade Log'!G:G,'Trade Log'!I:I,A102,'Trade Log'!F:F,"SELL"))</f>
        <v/>
      </c>
      <c r="I102" s="3">
        <f>IF(A102="","",(H102-G102)*F102)</f>
        <v/>
      </c>
      <c r="J102" s="3">
        <f>IF(A102="","",SUMIFS('Trade Log'!R:R,'Trade Log'!I:I,A102))</f>
        <v/>
      </c>
      <c r="K102" s="3">
        <f>IF(A102="","",I102-J102)</f>
        <v/>
      </c>
      <c r="L102" s="4">
        <f>IF(A102="","",IF(G102*F102=0,"",K102/(G102*F102)))</f>
        <v/>
      </c>
      <c r="M102">
        <f>IF(A102="","",E102-D102)</f>
        <v/>
      </c>
    </row>
    <row r="103">
      <c r="B103">
        <f>IF(A103="","",INDEX('Trade Log'!C:C,MATCH(A103,'Trade Log'!I:I,0)))</f>
        <v/>
      </c>
      <c r="C103">
        <f>IF(A103="","",INDEX('Trade Log'!E:E,MATCH(A103,'Trade Log'!I:I,0)))</f>
        <v/>
      </c>
      <c r="D103">
        <f>IF(A103="","",MINIFS('Trade Log'!B:B,'Trade Log'!I:I,A103,'Trade Log'!F:F,"BUY"))</f>
        <v/>
      </c>
      <c r="E103">
        <f>IF(A103="","",MAXIFS('Trade Log'!B:B,'Trade Log'!I:I,A103,'Trade Log'!F:F,"SELL"))</f>
        <v/>
      </c>
      <c r="F103" s="3">
        <f>IF(A103="","",MIN(SUMIFS('Trade Log'!G:G,'Trade Log'!I:I,A103,'Trade Log'!F:F,"BUY"),SUMIFS('Trade Log'!G:G,'Trade Log'!I:I,A103,'Trade Log'!F:F,"SELL")))</f>
        <v/>
      </c>
      <c r="G103" s="3">
        <f>IF(A103="","",SUMIFS('Trade Log'!K:K,'Trade Log'!I:I,A103,'Trade Log'!F:F,"BUY")/SUMIFS('Trade Log'!G:G,'Trade Log'!I:I,A103,'Trade Log'!F:F,"BUY"))</f>
        <v/>
      </c>
      <c r="H103" s="3">
        <f>IF(A103="","",SUMIFS('Trade Log'!K:K,'Trade Log'!I:I,A103,'Trade Log'!F:F,"SELL")/SUMIFS('Trade Log'!G:G,'Trade Log'!I:I,A103,'Trade Log'!F:F,"SELL"))</f>
        <v/>
      </c>
      <c r="I103" s="3">
        <f>IF(A103="","",(H103-G103)*F103)</f>
        <v/>
      </c>
      <c r="J103" s="3">
        <f>IF(A103="","",SUMIFS('Trade Log'!R:R,'Trade Log'!I:I,A103))</f>
        <v/>
      </c>
      <c r="K103" s="3">
        <f>IF(A103="","",I103-J103)</f>
        <v/>
      </c>
      <c r="L103" s="4">
        <f>IF(A103="","",IF(G103*F103=0,"",K103/(G103*F103)))</f>
        <v/>
      </c>
      <c r="M103">
        <f>IF(A103="","",E103-D103)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s="1" t="inlineStr">
        <is>
          <t>Paper trading dashboard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Starting capital (₹)</t>
        </is>
      </c>
      <c r="B5" s="3">
        <f>Settings!C4</f>
        <v/>
      </c>
    </row>
    <row r="6">
      <c r="A6" t="inlineStr">
        <is>
          <t>Cash after all trades (₹)</t>
        </is>
      </c>
      <c r="B6" s="3">
        <f>Settings!C4+SUM('Trade Log'!S:S)</f>
        <v/>
      </c>
    </row>
    <row r="7">
      <c r="A7" t="inlineStr">
        <is>
          <t>Invested in open positions (₹)</t>
        </is>
      </c>
      <c r="B7" s="3">
        <f>'Open Positions'!F57</f>
        <v/>
      </c>
    </row>
    <row r="8">
      <c r="A8" t="inlineStr">
        <is>
          <t>Portfolio value (cash + holdings)</t>
        </is>
      </c>
      <c r="B8" s="3">
        <f>B5+B6+'Open Positions'!H57</f>
        <v/>
      </c>
    </row>
    <row r="9">
      <c r="A9" t="inlineStr">
        <is>
          <t>Total realized P&amp;L (₹)</t>
        </is>
      </c>
      <c r="B9" s="3">
        <f>SUM('Closed Trades'!K:K)</f>
        <v/>
      </c>
    </row>
    <row r="10">
      <c r="A10" t="inlineStr">
        <is>
          <t>Total unrealized P&amp;L (₹)</t>
        </is>
      </c>
      <c r="B10" s="3">
        <f>'Open Positions'!I57</f>
        <v/>
      </c>
    </row>
    <row r="11">
      <c r="A11" t="inlineStr">
        <is>
          <t>Total P&amp;L (realized + unrealized)</t>
        </is>
      </c>
      <c r="B11" s="3">
        <f>B9+B10</f>
        <v/>
      </c>
    </row>
    <row r="12">
      <c r="A12" t="inlineStr">
        <is>
          <t>Return on starting capital %</t>
        </is>
      </c>
      <c r="B12" s="3">
        <f>IF(Settings!C4=0,"",B11/Settings!C4)</f>
        <v/>
      </c>
    </row>
    <row r="13">
      <c r="A13" t="inlineStr">
        <is>
          <t>Closed trades (count)</t>
        </is>
      </c>
      <c r="B13">
        <f>COUNTIF('Closed Trades'!A4:A103,"?*")</f>
        <v/>
      </c>
    </row>
    <row r="14">
      <c r="A14" t="inlineStr">
        <is>
          <t>Winning trades</t>
        </is>
      </c>
      <c r="B14">
        <f>COUNTIF('Closed Trades'!K4:K103,"&gt;0")</f>
        <v/>
      </c>
    </row>
    <row r="15">
      <c r="A15" t="inlineStr">
        <is>
          <t>Losing trades</t>
        </is>
      </c>
      <c r="B15">
        <f>COUNTIF('Closed Trades'!K4:K103,"&lt;0")</f>
        <v/>
      </c>
    </row>
    <row r="16">
      <c r="A16" t="inlineStr">
        <is>
          <t>Win rate %</t>
        </is>
      </c>
      <c r="B16" s="4">
        <f>IF(B14=0,"",B15/B14)</f>
        <v/>
      </c>
    </row>
    <row r="17">
      <c r="A17" t="inlineStr">
        <is>
          <t>Total brokerage paid (₹)</t>
        </is>
      </c>
      <c r="B17" s="3">
        <f>SUM('Trade Log'!L:L)</f>
        <v/>
      </c>
    </row>
    <row r="18">
      <c r="A18" t="inlineStr">
        <is>
          <t>Total charges paid (₹)</t>
        </is>
      </c>
      <c r="B18" s="3">
        <f>SUM('Trade Log'!R:R)</f>
        <v/>
      </c>
    </row>
    <row r="20">
      <c r="A20" s="5" t="inlineStr">
        <is>
          <t>Last updated: enter trades in Trade Log; update LTP on Open Positions for live MTM.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2026-05-29T09:24:48Z</dcterms:created>
  <dcterms:modified xmlns:dcterms="http://purl.org/dc/terms/" xmlns:xsi="http://www.w3.org/2001/XMLSchema-instance" xsi:type="dcterms:W3CDTF">2026-05-29T09:24:48Z</dcterms:modified>
</cp:coreProperties>
</file>