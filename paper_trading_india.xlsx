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rade Log" sheetId="3" state="visible" r:id="rId3"/>
    <sheet xmlns:r="http://schemas.openxmlformats.org/officeDocument/2006/relationships" name="Open Positions" sheetId="4" state="visible" r:id="rId4"/>
    <sheet xmlns:r="http://schemas.openxmlformats.org/officeDocument/2006/relationships" name="Dashboard" sheetId="5" state="visible" r:id="rId5"/>
    <sheet xmlns:r="http://schemas.openxmlformats.org/officeDocument/2006/relationships" name="Completed Trad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1E3A5F"/>
      <sz val="14"/>
    </font>
    <font>
      <b val="1"/>
      <color rgb="00FFFFFF"/>
      <sz val="11"/>
    </font>
    <font>
      <i val="1"/>
      <color rgb="0064748B"/>
    </font>
    <font>
      <b val="1"/>
    </font>
  </fonts>
  <fills count="3">
    <fill>
      <patternFill/>
    </fill>
    <fill>
      <patternFill patternType="gray125"/>
    </fill>
    <fill>
      <patternFill patternType="solid">
        <fgColor rgb="001E3A5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4" fontId="0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4" fontId="4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92" customWidth="1" min="1" max="1"/>
  </cols>
  <sheetData>
    <row r="1">
      <c r="A1" s="1" t="inlineStr">
        <is>
          <t>Paper trading — Excel workbook (NSE / BSE)</t>
        </is>
      </c>
    </row>
    <row r="3">
      <c r="A3" t="inlineStr">
        <is>
          <t>Your file IS the database. Save to OneDrive / Google Drive / your Mac — no Streamlit backup needed.</t>
        </is>
      </c>
    </row>
    <row r="5">
      <c r="A5" t="inlineStr">
        <is>
          <t>Daily workflow</t>
        </is>
      </c>
    </row>
    <row r="6">
      <c r="A6" t="inlineStr">
        <is>
          <t>1. Settings — starting capital (₹) and broker charge assumptions.</t>
        </is>
      </c>
    </row>
    <row r="7">
      <c r="A7" t="inlineStr">
        <is>
          <t>2. Trade Log — one row per fill (BUY or SELL). Leave Position ID blank for FIFO matching by symbol.</t>
        </is>
      </c>
    </row>
    <row r="8">
      <c r="A8" t="inlineStr">
        <is>
          <t>3. Open Positions — auto lists symbols with net qty &gt; 0 (Excel 365). Enter LTP in column G for mark-to-market.</t>
        </is>
      </c>
    </row>
    <row r="9">
      <c r="A9" t="inlineStr">
        <is>
          <t>4. Completed Trades — run: python build_paper_trading_sheet.py --refresh</t>
        </is>
      </c>
    </row>
    <row r="10">
      <c r="A10" t="inlineStr">
        <is>
          <t xml:space="preserve">   (after adding trades) to update realized P&amp;L using the same FIFO logic as the web app.</t>
        </is>
      </c>
    </row>
    <row r="11">
      <c r="A11" t="inlineStr">
        <is>
          <t>5. Dashboard — cash, equity, and performance at a glance.</t>
        </is>
      </c>
    </row>
    <row r="13">
      <c r="A13" t="inlineStr">
        <is>
          <t>Import old JSON backup once:</t>
        </is>
      </c>
    </row>
    <row r="14">
      <c r="A14" t="inlineStr">
        <is>
          <t xml:space="preserve">  python build_paper_trading_sheet.py --import ~/Downloads/paper_trading_backup.json</t>
        </is>
      </c>
    </row>
    <row r="16">
      <c r="A16" t="inlineStr">
        <is>
          <t>Regenerate blank workbook:</t>
        </is>
      </c>
    </row>
    <row r="17">
      <c r="A17" t="inlineStr">
        <is>
          <t xml:space="preserve">  python build_paper_trading_sheet.py</t>
        </is>
      </c>
    </row>
    <row r="19">
      <c r="A19" t="inlineStr">
        <is>
          <t>File: /Users/admin/Desktop/Codebase/ri/test/paper-trade/paper_trading_india.xlsx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8" customWidth="1" min="3" max="3"/>
    <col width="42" customWidth="1" min="4" max="4"/>
  </cols>
  <sheetData>
    <row r="1">
      <c r="A1" s="1" t="inlineStr">
        <is>
          <t>Paper trading settings</t>
        </is>
      </c>
    </row>
    <row r="3">
      <c r="A3" s="2" t="inlineStr"/>
      <c r="B3" s="2" t="inlineStr">
        <is>
          <t>Parameter</t>
        </is>
      </c>
      <c r="C3" s="2" t="inlineStr">
        <is>
          <t>Value</t>
        </is>
      </c>
      <c r="D3" s="2" t="inlineStr">
        <is>
          <t>Notes</t>
        </is>
      </c>
    </row>
    <row r="4">
      <c r="B4" t="inlineStr">
        <is>
          <t>Starting capital (₹)</t>
        </is>
      </c>
      <c r="C4" s="3" t="n">
        <v>1000000</v>
      </c>
      <c r="D4" t="inlineStr">
        <is>
          <t>Virtual cash</t>
        </is>
      </c>
    </row>
    <row r="5">
      <c r="B5" t="inlineStr">
        <is>
          <t>Brokerage per order (₹)</t>
        </is>
      </c>
      <c r="C5" s="3" t="n">
        <v>20</v>
      </c>
      <c r="D5" t="inlineStr">
        <is>
          <t>Flat per order</t>
        </is>
      </c>
    </row>
    <row r="6">
      <c r="B6" t="inlineStr">
        <is>
          <t>GST on brokerage (%)</t>
        </is>
      </c>
      <c r="C6" t="n">
        <v>0.18</v>
      </c>
      <c r="D6" t="inlineStr">
        <is>
          <t>18% on brokerage</t>
        </is>
      </c>
    </row>
    <row r="7">
      <c r="B7" t="inlineStr">
        <is>
          <t>STT — delivery sell (%)</t>
        </is>
      </c>
      <c r="C7" s="4" t="n">
        <v>0.001</v>
      </c>
      <c r="D7" t="inlineStr">
        <is>
          <t>0.1% on sell turnover</t>
        </is>
      </c>
    </row>
    <row r="8">
      <c r="B8" t="inlineStr">
        <is>
          <t>STT — intraday sell (%)</t>
        </is>
      </c>
      <c r="C8" s="4" t="n">
        <v>0.00025</v>
      </c>
      <c r="D8" t="inlineStr">
        <is>
          <t>0.025% on sell turnover</t>
        </is>
      </c>
    </row>
    <row r="9">
      <c r="B9" t="inlineStr">
        <is>
          <t>Exchange txn charge (%)</t>
        </is>
      </c>
      <c r="C9" s="4" t="n">
        <v>3.45e-05</v>
      </c>
      <c r="D9" t="inlineStr">
        <is>
          <t>NSE equity approx</t>
        </is>
      </c>
    </row>
    <row r="10">
      <c r="B10" t="inlineStr">
        <is>
          <t>SEBI fee (%)</t>
        </is>
      </c>
      <c r="C10" s="4" t="n">
        <v>1e-06</v>
      </c>
      <c r="D10" t="inlineStr">
        <is>
          <t>₹10 per crore approx</t>
        </is>
      </c>
    </row>
    <row r="11">
      <c r="B11" t="inlineStr">
        <is>
          <t>Stamp duty — buy (%)</t>
        </is>
      </c>
      <c r="C11" s="4" t="n">
        <v>0.00015</v>
      </c>
      <c r="D11" t="inlineStr">
        <is>
          <t>~0.015%</t>
        </is>
      </c>
    </row>
    <row r="12">
      <c r="B12" t="inlineStr">
        <is>
          <t>DP charges — delivery sell (₹)</t>
        </is>
      </c>
      <c r="C12" s="4" t="n">
        <v>15.93</v>
      </c>
      <c r="D12" t="inlineStr">
        <is>
          <t>Per delivery sell</t>
        </is>
      </c>
    </row>
    <row r="13">
      <c r="C13" s="3" t="n"/>
    </row>
    <row r="16">
      <c r="A16" s="5" t="inlineStr">
        <is>
          <t>Charge columns on Trade Log read Settings!$C$4:$C$13.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5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4" customWidth="1" min="3" max="3"/>
    <col width="10" customWidth="1" min="4" max="4"/>
    <col width="18" customWidth="1" min="5" max="5"/>
    <col width="8" customWidth="1" min="6" max="6"/>
    <col width="8" customWidth="1" min="7" max="7"/>
    <col width="12" customWidth="1" min="8" max="8"/>
    <col width="12" customWidth="1" min="9" max="9"/>
    <col width="24" customWidth="1" min="10" max="10"/>
    <col width="12" customWidth="1" min="11" max="11"/>
    <col width="12" customWidth="1" min="12" max="12"/>
    <col width="12" customWidth="1" min="13" max="13"/>
    <col width="10" customWidth="1" min="14" max="14"/>
    <col width="10" customWidth="1" min="15" max="15"/>
    <col width="12" customWidth="1" min="16" max="16"/>
    <col width="10" customWidth="1" min="17" max="17"/>
    <col width="10" customWidth="1" min="18" max="18"/>
    <col width="8" customWidth="1" min="19" max="19"/>
    <col width="14" customWidth="1" min="20" max="20"/>
    <col width="14" customWidth="1" min="21" max="21"/>
    <col width="16" customWidth="1" min="22" max="22"/>
  </cols>
  <sheetData>
    <row r="1">
      <c r="A1" s="2" t="inlineStr">
        <is>
          <t>#</t>
        </is>
      </c>
      <c r="B1" s="2" t="inlineStr">
        <is>
          <t>Date</t>
        </is>
      </c>
      <c r="C1" s="2" t="inlineStr">
        <is>
          <t>Symbol</t>
        </is>
      </c>
      <c r="D1" s="2" t="inlineStr">
        <is>
          <t>Exchange</t>
        </is>
      </c>
      <c r="E1" s="2" t="inlineStr">
        <is>
          <t>Segment</t>
        </is>
      </c>
      <c r="F1" s="2" t="inlineStr">
        <is>
          <t>Side</t>
        </is>
      </c>
      <c r="G1" s="2" t="inlineStr">
        <is>
          <t>Qty</t>
        </is>
      </c>
      <c r="H1" s="2" t="inlineStr">
        <is>
          <t>Price (₹)</t>
        </is>
      </c>
      <c r="I1" s="2" t="inlineStr">
        <is>
          <t>Position ID</t>
        </is>
      </c>
      <c r="J1" s="2" t="inlineStr">
        <is>
          <t>Notes</t>
        </is>
      </c>
      <c r="K1" s="2" t="inlineStr">
        <is>
          <t>Stop loss (₹)</t>
        </is>
      </c>
      <c r="L1" s="2" t="inlineStr">
        <is>
          <t>Target (₹)</t>
        </is>
      </c>
      <c r="M1" s="2" t="inlineStr">
        <is>
          <t>Gross (₹)</t>
        </is>
      </c>
      <c r="N1" s="2" t="inlineStr">
        <is>
          <t>Brokerage (₹)</t>
        </is>
      </c>
      <c r="O1" s="2" t="inlineStr">
        <is>
          <t>STT (₹)</t>
        </is>
      </c>
      <c r="P1" s="2" t="inlineStr">
        <is>
          <t>Exch+SEBI (₹)</t>
        </is>
      </c>
      <c r="Q1" s="2" t="inlineStr">
        <is>
          <t>Stamp (₹)</t>
        </is>
      </c>
      <c r="R1" s="2" t="inlineStr">
        <is>
          <t>GST (₹)</t>
        </is>
      </c>
      <c r="S1" s="2" t="inlineStr">
        <is>
          <t>DP (₹)</t>
        </is>
      </c>
      <c r="T1" s="2" t="inlineStr">
        <is>
          <t>Total charges (₹)</t>
        </is>
      </c>
      <c r="U1" s="2" t="inlineStr">
        <is>
          <t>Net cash flow (₹)</t>
        </is>
      </c>
      <c r="V1" s="2" t="inlineStr">
        <is>
          <t>Cash after trade (₹)</t>
        </is>
      </c>
    </row>
    <row r="2">
      <c r="A2">
        <f>IF(G2="","",ROW()-1)</f>
        <v/>
      </c>
      <c r="B2" s="8" t="n">
        <v>46171</v>
      </c>
      <c r="C2" t="inlineStr">
        <is>
          <t>TATASTEEL</t>
        </is>
      </c>
      <c r="D2" t="inlineStr">
        <is>
          <t>NSE</t>
        </is>
      </c>
      <c r="E2" t="inlineStr">
        <is>
          <t>Equity Delivery</t>
        </is>
      </c>
      <c r="F2" t="inlineStr">
        <is>
          <t>BUY</t>
        </is>
      </c>
      <c r="G2" s="3" t="n">
        <v>1000</v>
      </c>
      <c r="H2" s="3" t="n">
        <v>207.94</v>
      </c>
      <c r="I2" s="3" t="inlineStr"/>
      <c r="J2" s="3" t="inlineStr">
        <is>
          <t>Buy Zone</t>
        </is>
      </c>
      <c r="K2" s="3" t="inlineStr"/>
      <c r="L2" s="3" t="inlineStr"/>
      <c r="M2" s="3">
        <f>IF(G2="","",G2*H2)</f>
        <v/>
      </c>
      <c r="N2" s="3">
        <f>IF(G2="","",Settings!$C$5)</f>
        <v/>
      </c>
      <c r="O2" s="3">
        <f>IF(G2="","",IF(F2="SELL",M2*IF(E2="Equity Intraday",Settings!$C$8,Settings!$C$7),0))</f>
        <v/>
      </c>
      <c r="P2" s="3">
        <f>IF(G2="","",M2*(Settings!$C$9+Settings!$C$10))</f>
        <v/>
      </c>
      <c r="Q2" s="3">
        <f>IF(G2="","",IF(F2="BUY",M2*Settings!$C$11,0))</f>
        <v/>
      </c>
      <c r="R2" s="3">
        <f>IF(G2="","",N2*Settings!$C$6)</f>
        <v/>
      </c>
      <c r="S2" s="3">
        <f>IF(G2="","",IF(AND(F2="SELL",E2="Equity Delivery"),Settings!$C$13,0))</f>
        <v/>
      </c>
      <c r="T2" s="3">
        <f>IF(G2="","",SUM(N2:S2))</f>
        <v/>
      </c>
      <c r="U2" s="3">
        <f>IF(G2="","",IF(F2="BUY",-(M2+T2),M2-T2))</f>
        <v/>
      </c>
      <c r="V2">
        <f>IF(G2="","",Settings!$C$4+SUM($U$2:U2))</f>
        <v/>
      </c>
    </row>
    <row r="3">
      <c r="A3">
        <f>IF(G3="","",ROW()-1)</f>
        <v/>
      </c>
      <c r="B3" s="8" t="n">
        <v>46171</v>
      </c>
      <c r="C3" t="inlineStr">
        <is>
          <t>JINDALSTEL</t>
        </is>
      </c>
      <c r="D3" t="inlineStr">
        <is>
          <t>NSE</t>
        </is>
      </c>
      <c r="E3" t="inlineStr">
        <is>
          <t>Equity Delivery</t>
        </is>
      </c>
      <c r="F3" t="inlineStr">
        <is>
          <t>BUY</t>
        </is>
      </c>
      <c r="G3" s="3" t="n">
        <v>150</v>
      </c>
      <c r="H3" s="3" t="n">
        <v>1210</v>
      </c>
      <c r="I3" s="3" t="inlineStr"/>
      <c r="J3" s="3" t="inlineStr">
        <is>
          <t>Buy Zone</t>
        </is>
      </c>
      <c r="K3" s="3" t="inlineStr"/>
      <c r="L3" s="3" t="inlineStr"/>
      <c r="M3" s="3">
        <f>IF(G3="","",G3*H3)</f>
        <v/>
      </c>
      <c r="N3" s="3">
        <f>IF(G3="","",Settings!$C$5)</f>
        <v/>
      </c>
      <c r="O3" s="3">
        <f>IF(G3="","",IF(F3="SELL",M3*IF(E3="Equity Intraday",Settings!$C$8,Settings!$C$7),0))</f>
        <v/>
      </c>
      <c r="P3" s="3">
        <f>IF(G3="","",M3*(Settings!$C$9+Settings!$C$10))</f>
        <v/>
      </c>
      <c r="Q3" s="3">
        <f>IF(G3="","",IF(F3="BUY",M3*Settings!$C$11,0))</f>
        <v/>
      </c>
      <c r="R3" s="3">
        <f>IF(G3="","",N3*Settings!$C$6)</f>
        <v/>
      </c>
      <c r="S3" s="3">
        <f>IF(G3="","",IF(AND(F3="SELL",E3="Equity Delivery"),Settings!$C$13,0))</f>
        <v/>
      </c>
      <c r="T3" s="3">
        <f>IF(G3="","",SUM(N3:S3))</f>
        <v/>
      </c>
      <c r="U3" s="3">
        <f>IF(G3="","",IF(F3="BUY",-(M3+T3),M3-T3))</f>
        <v/>
      </c>
      <c r="V3">
        <f>IF(G3="","",Settings!$C$4+SUM($U$2:U3))</f>
        <v/>
      </c>
    </row>
    <row r="4">
      <c r="A4">
        <f>IF(G4="","",ROW()-1)</f>
        <v/>
      </c>
      <c r="B4" s="8" t="n">
        <v>46176</v>
      </c>
      <c r="C4" t="inlineStr">
        <is>
          <t>TATASTEEL</t>
        </is>
      </c>
      <c r="D4" t="inlineStr">
        <is>
          <t>NSE</t>
        </is>
      </c>
      <c r="E4" t="inlineStr">
        <is>
          <t>Equity Delivery</t>
        </is>
      </c>
      <c r="F4" t="inlineStr">
        <is>
          <t>SELL</t>
        </is>
      </c>
      <c r="G4" s="3" t="n">
        <v>1000</v>
      </c>
      <c r="H4" s="3" t="n">
        <v>210.8600006103516</v>
      </c>
      <c r="I4" s="3" t="inlineStr"/>
      <c r="J4" s="3" t="inlineStr"/>
      <c r="K4" s="3" t="inlineStr"/>
      <c r="L4" s="3" t="inlineStr"/>
      <c r="M4" s="3">
        <f>IF(G4="","",G4*H4)</f>
        <v/>
      </c>
      <c r="N4" s="3">
        <f>IF(G4="","",Settings!$C$5)</f>
        <v/>
      </c>
      <c r="O4" s="3">
        <f>IF(G4="","",IF(F4="SELL",M4*IF(E4="Equity Intraday",Settings!$C$8,Settings!$C$7),0))</f>
        <v/>
      </c>
      <c r="P4" s="3">
        <f>IF(G4="","",M4*(Settings!$C$9+Settings!$C$10))</f>
        <v/>
      </c>
      <c r="Q4" s="3">
        <f>IF(G4="","",IF(F4="BUY",M4*Settings!$C$11,0))</f>
        <v/>
      </c>
      <c r="R4" s="3">
        <f>IF(G4="","",N4*Settings!$C$6)</f>
        <v/>
      </c>
      <c r="S4" s="3">
        <f>IF(G4="","",IF(AND(F4="SELL",E4="Equity Delivery"),Settings!$C$13,0))</f>
        <v/>
      </c>
      <c r="T4" s="3">
        <f>IF(G4="","",SUM(N4:S4))</f>
        <v/>
      </c>
      <c r="U4" s="3">
        <f>IF(G4="","",IF(F4="BUY",-(M4+T4),M4-T4))</f>
        <v/>
      </c>
      <c r="V4">
        <f>IF(G4="","",Settings!$C$4+SUM($U$2:U4))</f>
        <v/>
      </c>
    </row>
    <row r="5">
      <c r="A5">
        <f>IF(G5="","",ROW()-1)</f>
        <v/>
      </c>
      <c r="B5" s="8" t="n"/>
      <c r="G5" s="3" t="n"/>
      <c r="H5" s="3" t="n"/>
      <c r="I5" s="3" t="n"/>
      <c r="J5" s="3" t="n"/>
      <c r="K5" s="3" t="n"/>
      <c r="L5" s="3" t="n"/>
      <c r="M5" s="3">
        <f>IF(G5="","",G5*H5)</f>
        <v/>
      </c>
      <c r="N5" s="3">
        <f>IF(G5="","",Settings!$C$5)</f>
        <v/>
      </c>
      <c r="O5" s="3">
        <f>IF(G5="","",IF(F5="SELL",M5*IF(E5="Equity Intraday",Settings!$C$8,Settings!$C$7),0))</f>
        <v/>
      </c>
      <c r="P5" s="3">
        <f>IF(G5="","",M5*(Settings!$C$9+Settings!$C$10))</f>
        <v/>
      </c>
      <c r="Q5" s="3">
        <f>IF(G5="","",IF(F5="BUY",M5*Settings!$C$11,0))</f>
        <v/>
      </c>
      <c r="R5" s="3">
        <f>IF(G5="","",N5*Settings!$C$6)</f>
        <v/>
      </c>
      <c r="S5" s="3">
        <f>IF(G5="","",IF(AND(F5="SELL",E5="Equity Delivery"),Settings!$C$13,0))</f>
        <v/>
      </c>
      <c r="T5" s="3">
        <f>IF(G5="","",SUM(N5:S5))</f>
        <v/>
      </c>
      <c r="U5" s="3">
        <f>IF(G5="","",IF(F5="BUY",-(M5+T5),M5-T5))</f>
        <v/>
      </c>
      <c r="V5">
        <f>IF(G5="","",Settings!$C$4+SUM($U$2:U5))</f>
        <v/>
      </c>
    </row>
    <row r="6">
      <c r="A6">
        <f>IF(G6="","",ROW()-1)</f>
        <v/>
      </c>
      <c r="B6" s="8" t="n"/>
      <c r="G6" s="3" t="n"/>
      <c r="H6" s="3" t="n"/>
      <c r="I6" s="3" t="n"/>
      <c r="J6" s="3" t="n"/>
      <c r="K6" s="3" t="n"/>
      <c r="L6" s="3" t="n"/>
      <c r="M6" s="3">
        <f>IF(G6="","",G6*H6)</f>
        <v/>
      </c>
      <c r="N6" s="3">
        <f>IF(G6="","",Settings!$C$5)</f>
        <v/>
      </c>
      <c r="O6" s="3">
        <f>IF(G6="","",IF(F6="SELL",M6*IF(E6="Equity Intraday",Settings!$C$8,Settings!$C$7),0))</f>
        <v/>
      </c>
      <c r="P6" s="3">
        <f>IF(G6="","",M6*(Settings!$C$9+Settings!$C$10))</f>
        <v/>
      </c>
      <c r="Q6" s="3">
        <f>IF(G6="","",IF(F6="BUY",M6*Settings!$C$11,0))</f>
        <v/>
      </c>
      <c r="R6" s="3">
        <f>IF(G6="","",N6*Settings!$C$6)</f>
        <v/>
      </c>
      <c r="S6" s="3">
        <f>IF(G6="","",IF(AND(F6="SELL",E6="Equity Delivery"),Settings!$C$13,0))</f>
        <v/>
      </c>
      <c r="T6" s="3">
        <f>IF(G6="","",SUM(N6:S6))</f>
        <v/>
      </c>
      <c r="U6" s="3">
        <f>IF(G6="","",IF(F6="BUY",-(M6+T6),M6-T6))</f>
        <v/>
      </c>
      <c r="V6">
        <f>IF(G6="","",Settings!$C$4+SUM($U$2:U6))</f>
        <v/>
      </c>
    </row>
    <row r="7">
      <c r="A7">
        <f>IF(G7="","",ROW()-1)</f>
        <v/>
      </c>
      <c r="B7" s="8" t="n"/>
      <c r="G7" s="3" t="n"/>
      <c r="H7" s="3" t="n"/>
      <c r="I7" s="3" t="n"/>
      <c r="J7" s="3" t="n"/>
      <c r="K7" s="3" t="n"/>
      <c r="L7" s="3" t="n"/>
      <c r="M7" s="3">
        <f>IF(G7="","",G7*H7)</f>
        <v/>
      </c>
      <c r="N7" s="3">
        <f>IF(G7="","",Settings!$C$5)</f>
        <v/>
      </c>
      <c r="O7" s="3">
        <f>IF(G7="","",IF(F7="SELL",M7*IF(E7="Equity Intraday",Settings!$C$8,Settings!$C$7),0))</f>
        <v/>
      </c>
      <c r="P7" s="3">
        <f>IF(G7="","",M7*(Settings!$C$9+Settings!$C$10))</f>
        <v/>
      </c>
      <c r="Q7" s="3">
        <f>IF(G7="","",IF(F7="BUY",M7*Settings!$C$11,0))</f>
        <v/>
      </c>
      <c r="R7" s="3">
        <f>IF(G7="","",N7*Settings!$C$6)</f>
        <v/>
      </c>
      <c r="S7" s="3">
        <f>IF(G7="","",IF(AND(F7="SELL",E7="Equity Delivery"),Settings!$C$13,0))</f>
        <v/>
      </c>
      <c r="T7" s="3">
        <f>IF(G7="","",SUM(N7:S7))</f>
        <v/>
      </c>
      <c r="U7" s="3">
        <f>IF(G7="","",IF(F7="BUY",-(M7+T7),M7-T7))</f>
        <v/>
      </c>
      <c r="V7">
        <f>IF(G7="","",Settings!$C$4+SUM($U$2:U7))</f>
        <v/>
      </c>
    </row>
    <row r="8">
      <c r="A8">
        <f>IF(G8="","",ROW()-1)</f>
        <v/>
      </c>
      <c r="B8" s="8" t="n"/>
      <c r="G8" s="3" t="n"/>
      <c r="H8" s="3" t="n"/>
      <c r="I8" s="3" t="n"/>
      <c r="J8" s="3" t="n"/>
      <c r="K8" s="3" t="n"/>
      <c r="L8" s="3" t="n"/>
      <c r="M8" s="3">
        <f>IF(G8="","",G8*H8)</f>
        <v/>
      </c>
      <c r="N8" s="3">
        <f>IF(G8="","",Settings!$C$5)</f>
        <v/>
      </c>
      <c r="O8" s="3">
        <f>IF(G8="","",IF(F8="SELL",M8*IF(E8="Equity Intraday",Settings!$C$8,Settings!$C$7),0))</f>
        <v/>
      </c>
      <c r="P8" s="3">
        <f>IF(G8="","",M8*(Settings!$C$9+Settings!$C$10))</f>
        <v/>
      </c>
      <c r="Q8" s="3">
        <f>IF(G8="","",IF(F8="BUY",M8*Settings!$C$11,0))</f>
        <v/>
      </c>
      <c r="R8" s="3">
        <f>IF(G8="","",N8*Settings!$C$6)</f>
        <v/>
      </c>
      <c r="S8" s="3">
        <f>IF(G8="","",IF(AND(F8="SELL",E8="Equity Delivery"),Settings!$C$13,0))</f>
        <v/>
      </c>
      <c r="T8" s="3">
        <f>IF(G8="","",SUM(N8:S8))</f>
        <v/>
      </c>
      <c r="U8" s="3">
        <f>IF(G8="","",IF(F8="BUY",-(M8+T8),M8-T8))</f>
        <v/>
      </c>
      <c r="V8">
        <f>IF(G8="","",Settings!$C$4+SUM($U$2:U8))</f>
        <v/>
      </c>
    </row>
    <row r="9">
      <c r="A9">
        <f>IF(G9="","",ROW()-1)</f>
        <v/>
      </c>
      <c r="B9" s="8" t="n"/>
      <c r="G9" s="3" t="n"/>
      <c r="H9" s="3" t="n"/>
      <c r="I9" s="3" t="n"/>
      <c r="J9" s="3" t="n"/>
      <c r="K9" s="3" t="n"/>
      <c r="L9" s="3" t="n"/>
      <c r="M9" s="3">
        <f>IF(G9="","",G9*H9)</f>
        <v/>
      </c>
      <c r="N9" s="3">
        <f>IF(G9="","",Settings!$C$5)</f>
        <v/>
      </c>
      <c r="O9" s="3">
        <f>IF(G9="","",IF(F9="SELL",M9*IF(E9="Equity Intraday",Settings!$C$8,Settings!$C$7),0))</f>
        <v/>
      </c>
      <c r="P9" s="3">
        <f>IF(G9="","",M9*(Settings!$C$9+Settings!$C$10))</f>
        <v/>
      </c>
      <c r="Q9" s="3">
        <f>IF(G9="","",IF(F9="BUY",M9*Settings!$C$11,0))</f>
        <v/>
      </c>
      <c r="R9" s="3">
        <f>IF(G9="","",N9*Settings!$C$6)</f>
        <v/>
      </c>
      <c r="S9" s="3">
        <f>IF(G9="","",IF(AND(F9="SELL",E9="Equity Delivery"),Settings!$C$13,0))</f>
        <v/>
      </c>
      <c r="T9" s="3">
        <f>IF(G9="","",SUM(N9:S9))</f>
        <v/>
      </c>
      <c r="U9" s="3">
        <f>IF(G9="","",IF(F9="BUY",-(M9+T9),M9-T9))</f>
        <v/>
      </c>
      <c r="V9">
        <f>IF(G9="","",Settings!$C$4+SUM($U$2:U9))</f>
        <v/>
      </c>
    </row>
    <row r="10">
      <c r="A10">
        <f>IF(G10="","",ROW()-1)</f>
        <v/>
      </c>
      <c r="B10" s="8" t="n"/>
      <c r="G10" s="3" t="n"/>
      <c r="H10" s="3" t="n"/>
      <c r="I10" s="3" t="n"/>
      <c r="J10" s="3" t="n"/>
      <c r="K10" s="3" t="n"/>
      <c r="L10" s="3" t="n"/>
      <c r="M10" s="3">
        <f>IF(G10="","",G10*H10)</f>
        <v/>
      </c>
      <c r="N10" s="3">
        <f>IF(G10="","",Settings!$C$5)</f>
        <v/>
      </c>
      <c r="O10" s="3">
        <f>IF(G10="","",IF(F10="SELL",M10*IF(E10="Equity Intraday",Settings!$C$8,Settings!$C$7),0))</f>
        <v/>
      </c>
      <c r="P10" s="3">
        <f>IF(G10="","",M10*(Settings!$C$9+Settings!$C$10))</f>
        <v/>
      </c>
      <c r="Q10" s="3">
        <f>IF(G10="","",IF(F10="BUY",M10*Settings!$C$11,0))</f>
        <v/>
      </c>
      <c r="R10" s="3">
        <f>IF(G10="","",N10*Settings!$C$6)</f>
        <v/>
      </c>
      <c r="S10" s="3">
        <f>IF(G10="","",IF(AND(F10="SELL",E10="Equity Delivery"),Settings!$C$13,0))</f>
        <v/>
      </c>
      <c r="T10" s="3">
        <f>IF(G10="","",SUM(N10:S10))</f>
        <v/>
      </c>
      <c r="U10" s="3">
        <f>IF(G10="","",IF(F10="BUY",-(M10+T10),M10-T10))</f>
        <v/>
      </c>
      <c r="V10">
        <f>IF(G10="","",Settings!$C$4+SUM($U$2:U10))</f>
        <v/>
      </c>
    </row>
    <row r="11">
      <c r="A11">
        <f>IF(G11="","",ROW()-1)</f>
        <v/>
      </c>
      <c r="B11" s="8" t="n"/>
      <c r="G11" s="3" t="n"/>
      <c r="H11" s="3" t="n"/>
      <c r="I11" s="3" t="n"/>
      <c r="J11" s="3" t="n"/>
      <c r="K11" s="3" t="n"/>
      <c r="L11" s="3" t="n"/>
      <c r="M11" s="3">
        <f>IF(G11="","",G11*H11)</f>
        <v/>
      </c>
      <c r="N11" s="3">
        <f>IF(G11="","",Settings!$C$5)</f>
        <v/>
      </c>
      <c r="O11" s="3">
        <f>IF(G11="","",IF(F11="SELL",M11*IF(E11="Equity Intraday",Settings!$C$8,Settings!$C$7),0))</f>
        <v/>
      </c>
      <c r="P11" s="3">
        <f>IF(G11="","",M11*(Settings!$C$9+Settings!$C$10))</f>
        <v/>
      </c>
      <c r="Q11" s="3">
        <f>IF(G11="","",IF(F11="BUY",M11*Settings!$C$11,0))</f>
        <v/>
      </c>
      <c r="R11" s="3">
        <f>IF(G11="","",N11*Settings!$C$6)</f>
        <v/>
      </c>
      <c r="S11" s="3">
        <f>IF(G11="","",IF(AND(F11="SELL",E11="Equity Delivery"),Settings!$C$13,0))</f>
        <v/>
      </c>
      <c r="T11" s="3">
        <f>IF(G11="","",SUM(N11:S11))</f>
        <v/>
      </c>
      <c r="U11" s="3">
        <f>IF(G11="","",IF(F11="BUY",-(M11+T11),M11-T11))</f>
        <v/>
      </c>
      <c r="V11">
        <f>IF(G11="","",Settings!$C$4+SUM($U$2:U11))</f>
        <v/>
      </c>
    </row>
    <row r="12">
      <c r="A12">
        <f>IF(G12="","",ROW()-1)</f>
        <v/>
      </c>
      <c r="B12" s="8" t="n"/>
      <c r="G12" s="3" t="n"/>
      <c r="H12" s="3" t="n"/>
      <c r="I12" s="3" t="n"/>
      <c r="J12" s="3" t="n"/>
      <c r="K12" s="3" t="n"/>
      <c r="L12" s="3" t="n"/>
      <c r="M12" s="3">
        <f>IF(G12="","",G12*H12)</f>
        <v/>
      </c>
      <c r="N12" s="3">
        <f>IF(G12="","",Settings!$C$5)</f>
        <v/>
      </c>
      <c r="O12" s="3">
        <f>IF(G12="","",IF(F12="SELL",M12*IF(E12="Equity Intraday",Settings!$C$8,Settings!$C$7),0))</f>
        <v/>
      </c>
      <c r="P12" s="3">
        <f>IF(G12="","",M12*(Settings!$C$9+Settings!$C$10))</f>
        <v/>
      </c>
      <c r="Q12" s="3">
        <f>IF(G12="","",IF(F12="BUY",M12*Settings!$C$11,0))</f>
        <v/>
      </c>
      <c r="R12" s="3">
        <f>IF(G12="","",N12*Settings!$C$6)</f>
        <v/>
      </c>
      <c r="S12" s="3">
        <f>IF(G12="","",IF(AND(F12="SELL",E12="Equity Delivery"),Settings!$C$13,0))</f>
        <v/>
      </c>
      <c r="T12" s="3">
        <f>IF(G12="","",SUM(N12:S12))</f>
        <v/>
      </c>
      <c r="U12" s="3">
        <f>IF(G12="","",IF(F12="BUY",-(M12+T12),M12-T12))</f>
        <v/>
      </c>
      <c r="V12">
        <f>IF(G12="","",Settings!$C$4+SUM($U$2:U12))</f>
        <v/>
      </c>
    </row>
    <row r="13">
      <c r="A13">
        <f>IF(G13="","",ROW()-1)</f>
        <v/>
      </c>
      <c r="B13" s="8" t="n"/>
      <c r="G13" s="3" t="n"/>
      <c r="H13" s="3" t="n"/>
      <c r="I13" s="3" t="n"/>
      <c r="J13" s="3" t="n"/>
      <c r="K13" s="3" t="n"/>
      <c r="L13" s="3" t="n"/>
      <c r="M13" s="3">
        <f>IF(G13="","",G13*H13)</f>
        <v/>
      </c>
      <c r="N13" s="3">
        <f>IF(G13="","",Settings!$C$5)</f>
        <v/>
      </c>
      <c r="O13" s="3">
        <f>IF(G13="","",IF(F13="SELL",M13*IF(E13="Equity Intraday",Settings!$C$8,Settings!$C$7),0))</f>
        <v/>
      </c>
      <c r="P13" s="3">
        <f>IF(G13="","",M13*(Settings!$C$9+Settings!$C$10))</f>
        <v/>
      </c>
      <c r="Q13" s="3">
        <f>IF(G13="","",IF(F13="BUY",M13*Settings!$C$11,0))</f>
        <v/>
      </c>
      <c r="R13" s="3">
        <f>IF(G13="","",N13*Settings!$C$6)</f>
        <v/>
      </c>
      <c r="S13" s="3">
        <f>IF(G13="","",IF(AND(F13="SELL",E13="Equity Delivery"),Settings!$C$13,0))</f>
        <v/>
      </c>
      <c r="T13" s="3">
        <f>IF(G13="","",SUM(N13:S13))</f>
        <v/>
      </c>
      <c r="U13" s="3">
        <f>IF(G13="","",IF(F13="BUY",-(M13+T13),M13-T13))</f>
        <v/>
      </c>
      <c r="V13">
        <f>IF(G13="","",Settings!$C$4+SUM($U$2:U13))</f>
        <v/>
      </c>
    </row>
    <row r="14">
      <c r="A14">
        <f>IF(G14="","",ROW()-1)</f>
        <v/>
      </c>
      <c r="B14" s="8" t="n"/>
      <c r="G14" s="3" t="n"/>
      <c r="H14" s="3" t="n"/>
      <c r="I14" s="3" t="n"/>
      <c r="J14" s="3" t="n"/>
      <c r="K14" s="3" t="n"/>
      <c r="L14" s="3" t="n"/>
      <c r="M14" s="3">
        <f>IF(G14="","",G14*H14)</f>
        <v/>
      </c>
      <c r="N14" s="3">
        <f>IF(G14="","",Settings!$C$5)</f>
        <v/>
      </c>
      <c r="O14" s="3">
        <f>IF(G14="","",IF(F14="SELL",M14*IF(E14="Equity Intraday",Settings!$C$8,Settings!$C$7),0))</f>
        <v/>
      </c>
      <c r="P14" s="3">
        <f>IF(G14="","",M14*(Settings!$C$9+Settings!$C$10))</f>
        <v/>
      </c>
      <c r="Q14" s="3">
        <f>IF(G14="","",IF(F14="BUY",M14*Settings!$C$11,0))</f>
        <v/>
      </c>
      <c r="R14" s="3">
        <f>IF(G14="","",N14*Settings!$C$6)</f>
        <v/>
      </c>
      <c r="S14" s="3">
        <f>IF(G14="","",IF(AND(F14="SELL",E14="Equity Delivery"),Settings!$C$13,0))</f>
        <v/>
      </c>
      <c r="T14" s="3">
        <f>IF(G14="","",SUM(N14:S14))</f>
        <v/>
      </c>
      <c r="U14" s="3">
        <f>IF(G14="","",IF(F14="BUY",-(M14+T14),M14-T14))</f>
        <v/>
      </c>
      <c r="V14">
        <f>IF(G14="","",Settings!$C$4+SUM($U$2:U14))</f>
        <v/>
      </c>
    </row>
    <row r="15">
      <c r="A15">
        <f>IF(G15="","",ROW()-1)</f>
        <v/>
      </c>
      <c r="B15" s="8" t="n"/>
      <c r="G15" s="3" t="n"/>
      <c r="H15" s="3" t="n"/>
      <c r="I15" s="3" t="n"/>
      <c r="J15" s="3" t="n"/>
      <c r="K15" s="3" t="n"/>
      <c r="L15" s="3" t="n"/>
      <c r="M15" s="3">
        <f>IF(G15="","",G15*H15)</f>
        <v/>
      </c>
      <c r="N15" s="3">
        <f>IF(G15="","",Settings!$C$5)</f>
        <v/>
      </c>
      <c r="O15" s="3">
        <f>IF(G15="","",IF(F15="SELL",M15*IF(E15="Equity Intraday",Settings!$C$8,Settings!$C$7),0))</f>
        <v/>
      </c>
      <c r="P15" s="3">
        <f>IF(G15="","",M15*(Settings!$C$9+Settings!$C$10))</f>
        <v/>
      </c>
      <c r="Q15" s="3">
        <f>IF(G15="","",IF(F15="BUY",M15*Settings!$C$11,0))</f>
        <v/>
      </c>
      <c r="R15" s="3">
        <f>IF(G15="","",N15*Settings!$C$6)</f>
        <v/>
      </c>
      <c r="S15" s="3">
        <f>IF(G15="","",IF(AND(F15="SELL",E15="Equity Delivery"),Settings!$C$13,0))</f>
        <v/>
      </c>
      <c r="T15" s="3">
        <f>IF(G15="","",SUM(N15:S15))</f>
        <v/>
      </c>
      <c r="U15" s="3">
        <f>IF(G15="","",IF(F15="BUY",-(M15+T15),M15-T15))</f>
        <v/>
      </c>
      <c r="V15">
        <f>IF(G15="","",Settings!$C$4+SUM($U$2:U15))</f>
        <v/>
      </c>
    </row>
    <row r="16">
      <c r="A16">
        <f>IF(G16="","",ROW()-1)</f>
        <v/>
      </c>
      <c r="B16" s="8" t="n"/>
      <c r="G16" s="3" t="n"/>
      <c r="H16" s="3" t="n"/>
      <c r="I16" s="3" t="n"/>
      <c r="J16" s="3" t="n"/>
      <c r="K16" s="3" t="n"/>
      <c r="L16" s="3" t="n"/>
      <c r="M16" s="3">
        <f>IF(G16="","",G16*H16)</f>
        <v/>
      </c>
      <c r="N16" s="3">
        <f>IF(G16="","",Settings!$C$5)</f>
        <v/>
      </c>
      <c r="O16" s="3">
        <f>IF(G16="","",IF(F16="SELL",M16*IF(E16="Equity Intraday",Settings!$C$8,Settings!$C$7),0))</f>
        <v/>
      </c>
      <c r="P16" s="3">
        <f>IF(G16="","",M16*(Settings!$C$9+Settings!$C$10))</f>
        <v/>
      </c>
      <c r="Q16" s="3">
        <f>IF(G16="","",IF(F16="BUY",M16*Settings!$C$11,0))</f>
        <v/>
      </c>
      <c r="R16" s="3">
        <f>IF(G16="","",N16*Settings!$C$6)</f>
        <v/>
      </c>
      <c r="S16" s="3">
        <f>IF(G16="","",IF(AND(F16="SELL",E16="Equity Delivery"),Settings!$C$13,0))</f>
        <v/>
      </c>
      <c r="T16" s="3">
        <f>IF(G16="","",SUM(N16:S16))</f>
        <v/>
      </c>
      <c r="U16" s="3">
        <f>IF(G16="","",IF(F16="BUY",-(M16+T16),M16-T16))</f>
        <v/>
      </c>
      <c r="V16">
        <f>IF(G16="","",Settings!$C$4+SUM($U$2:U16))</f>
        <v/>
      </c>
    </row>
    <row r="17">
      <c r="A17">
        <f>IF(G17="","",ROW()-1)</f>
        <v/>
      </c>
      <c r="B17" s="8" t="n"/>
      <c r="G17" s="3" t="n"/>
      <c r="H17" s="3" t="n"/>
      <c r="I17" s="3" t="n"/>
      <c r="J17" s="3" t="n"/>
      <c r="K17" s="3" t="n"/>
      <c r="L17" s="3" t="n"/>
      <c r="M17" s="3">
        <f>IF(G17="","",G17*H17)</f>
        <v/>
      </c>
      <c r="N17" s="3">
        <f>IF(G17="","",Settings!$C$5)</f>
        <v/>
      </c>
      <c r="O17" s="3">
        <f>IF(G17="","",IF(F17="SELL",M17*IF(E17="Equity Intraday",Settings!$C$8,Settings!$C$7),0))</f>
        <v/>
      </c>
      <c r="P17" s="3">
        <f>IF(G17="","",M17*(Settings!$C$9+Settings!$C$10))</f>
        <v/>
      </c>
      <c r="Q17" s="3">
        <f>IF(G17="","",IF(F17="BUY",M17*Settings!$C$11,0))</f>
        <v/>
      </c>
      <c r="R17" s="3">
        <f>IF(G17="","",N17*Settings!$C$6)</f>
        <v/>
      </c>
      <c r="S17" s="3">
        <f>IF(G17="","",IF(AND(F17="SELL",E17="Equity Delivery"),Settings!$C$13,0))</f>
        <v/>
      </c>
      <c r="T17" s="3">
        <f>IF(G17="","",SUM(N17:S17))</f>
        <v/>
      </c>
      <c r="U17" s="3">
        <f>IF(G17="","",IF(F17="BUY",-(M17+T17),M17-T17))</f>
        <v/>
      </c>
      <c r="V17">
        <f>IF(G17="","",Settings!$C$4+SUM($U$2:U17))</f>
        <v/>
      </c>
    </row>
    <row r="18">
      <c r="A18">
        <f>IF(G18="","",ROW()-1)</f>
        <v/>
      </c>
      <c r="B18" s="8" t="n"/>
      <c r="G18" s="3" t="n"/>
      <c r="H18" s="3" t="n"/>
      <c r="I18" s="3" t="n"/>
      <c r="J18" s="3" t="n"/>
      <c r="K18" s="3" t="n"/>
      <c r="L18" s="3" t="n"/>
      <c r="M18" s="3">
        <f>IF(G18="","",G18*H18)</f>
        <v/>
      </c>
      <c r="N18" s="3">
        <f>IF(G18="","",Settings!$C$5)</f>
        <v/>
      </c>
      <c r="O18" s="3">
        <f>IF(G18="","",IF(F18="SELL",M18*IF(E18="Equity Intraday",Settings!$C$8,Settings!$C$7),0))</f>
        <v/>
      </c>
      <c r="P18" s="3">
        <f>IF(G18="","",M18*(Settings!$C$9+Settings!$C$10))</f>
        <v/>
      </c>
      <c r="Q18" s="3">
        <f>IF(G18="","",IF(F18="BUY",M18*Settings!$C$11,0))</f>
        <v/>
      </c>
      <c r="R18" s="3">
        <f>IF(G18="","",N18*Settings!$C$6)</f>
        <v/>
      </c>
      <c r="S18" s="3">
        <f>IF(G18="","",IF(AND(F18="SELL",E18="Equity Delivery"),Settings!$C$13,0))</f>
        <v/>
      </c>
      <c r="T18" s="3">
        <f>IF(G18="","",SUM(N18:S18))</f>
        <v/>
      </c>
      <c r="U18" s="3">
        <f>IF(G18="","",IF(F18="BUY",-(M18+T18),M18-T18))</f>
        <v/>
      </c>
      <c r="V18">
        <f>IF(G18="","",Settings!$C$4+SUM($U$2:U18))</f>
        <v/>
      </c>
    </row>
    <row r="19">
      <c r="A19">
        <f>IF(G19="","",ROW()-1)</f>
        <v/>
      </c>
      <c r="B19" s="8" t="n"/>
      <c r="G19" s="3" t="n"/>
      <c r="H19" s="3" t="n"/>
      <c r="I19" s="3" t="n"/>
      <c r="J19" s="3" t="n"/>
      <c r="K19" s="3" t="n"/>
      <c r="L19" s="3" t="n"/>
      <c r="M19" s="3">
        <f>IF(G19="","",G19*H19)</f>
        <v/>
      </c>
      <c r="N19" s="3">
        <f>IF(G19="","",Settings!$C$5)</f>
        <v/>
      </c>
      <c r="O19" s="3">
        <f>IF(G19="","",IF(F19="SELL",M19*IF(E19="Equity Intraday",Settings!$C$8,Settings!$C$7),0))</f>
        <v/>
      </c>
      <c r="P19" s="3">
        <f>IF(G19="","",M19*(Settings!$C$9+Settings!$C$10))</f>
        <v/>
      </c>
      <c r="Q19" s="3">
        <f>IF(G19="","",IF(F19="BUY",M19*Settings!$C$11,0))</f>
        <v/>
      </c>
      <c r="R19" s="3">
        <f>IF(G19="","",N19*Settings!$C$6)</f>
        <v/>
      </c>
      <c r="S19" s="3">
        <f>IF(G19="","",IF(AND(F19="SELL",E19="Equity Delivery"),Settings!$C$13,0))</f>
        <v/>
      </c>
      <c r="T19" s="3">
        <f>IF(G19="","",SUM(N19:S19))</f>
        <v/>
      </c>
      <c r="U19" s="3">
        <f>IF(G19="","",IF(F19="BUY",-(M19+T19),M19-T19))</f>
        <v/>
      </c>
      <c r="V19">
        <f>IF(G19="","",Settings!$C$4+SUM($U$2:U19))</f>
        <v/>
      </c>
    </row>
    <row r="20">
      <c r="A20">
        <f>IF(G20="","",ROW()-1)</f>
        <v/>
      </c>
      <c r="B20" s="8" t="n"/>
      <c r="G20" s="3" t="n"/>
      <c r="H20" s="3" t="n"/>
      <c r="I20" s="3" t="n"/>
      <c r="J20" s="3" t="n"/>
      <c r="K20" s="3" t="n"/>
      <c r="L20" s="3" t="n"/>
      <c r="M20" s="3">
        <f>IF(G20="","",G20*H20)</f>
        <v/>
      </c>
      <c r="N20" s="3">
        <f>IF(G20="","",Settings!$C$5)</f>
        <v/>
      </c>
      <c r="O20" s="3">
        <f>IF(G20="","",IF(F20="SELL",M20*IF(E20="Equity Intraday",Settings!$C$8,Settings!$C$7),0))</f>
        <v/>
      </c>
      <c r="P20" s="3">
        <f>IF(G20="","",M20*(Settings!$C$9+Settings!$C$10))</f>
        <v/>
      </c>
      <c r="Q20" s="3">
        <f>IF(G20="","",IF(F20="BUY",M20*Settings!$C$11,0))</f>
        <v/>
      </c>
      <c r="R20" s="3">
        <f>IF(G20="","",N20*Settings!$C$6)</f>
        <v/>
      </c>
      <c r="S20" s="3">
        <f>IF(G20="","",IF(AND(F20="SELL",E20="Equity Delivery"),Settings!$C$13,0))</f>
        <v/>
      </c>
      <c r="T20" s="3">
        <f>IF(G20="","",SUM(N20:S20))</f>
        <v/>
      </c>
      <c r="U20" s="3">
        <f>IF(G20="","",IF(F20="BUY",-(M20+T20),M20-T20))</f>
        <v/>
      </c>
      <c r="V20">
        <f>IF(G20="","",Settings!$C$4+SUM($U$2:U20))</f>
        <v/>
      </c>
    </row>
    <row r="21">
      <c r="A21">
        <f>IF(G21="","",ROW()-1)</f>
        <v/>
      </c>
      <c r="B21" s="8" t="n"/>
      <c r="G21" s="3" t="n"/>
      <c r="H21" s="3" t="n"/>
      <c r="I21" s="3" t="n"/>
      <c r="J21" s="3" t="n"/>
      <c r="K21" s="3" t="n"/>
      <c r="L21" s="3" t="n"/>
      <c r="M21" s="3">
        <f>IF(G21="","",G21*H21)</f>
        <v/>
      </c>
      <c r="N21" s="3">
        <f>IF(G21="","",Settings!$C$5)</f>
        <v/>
      </c>
      <c r="O21" s="3">
        <f>IF(G21="","",IF(F21="SELL",M21*IF(E21="Equity Intraday",Settings!$C$8,Settings!$C$7),0))</f>
        <v/>
      </c>
      <c r="P21" s="3">
        <f>IF(G21="","",M21*(Settings!$C$9+Settings!$C$10))</f>
        <v/>
      </c>
      <c r="Q21" s="3">
        <f>IF(G21="","",IF(F21="BUY",M21*Settings!$C$11,0))</f>
        <v/>
      </c>
      <c r="R21" s="3">
        <f>IF(G21="","",N21*Settings!$C$6)</f>
        <v/>
      </c>
      <c r="S21" s="3">
        <f>IF(G21="","",IF(AND(F21="SELL",E21="Equity Delivery"),Settings!$C$13,0))</f>
        <v/>
      </c>
      <c r="T21" s="3">
        <f>IF(G21="","",SUM(N21:S21))</f>
        <v/>
      </c>
      <c r="U21" s="3">
        <f>IF(G21="","",IF(F21="BUY",-(M21+T21),M21-T21))</f>
        <v/>
      </c>
      <c r="V21">
        <f>IF(G21="","",Settings!$C$4+SUM($U$2:U21))</f>
        <v/>
      </c>
    </row>
    <row r="22">
      <c r="A22">
        <f>IF(G22="","",ROW()-1)</f>
        <v/>
      </c>
      <c r="B22" s="8" t="n"/>
      <c r="G22" s="3" t="n"/>
      <c r="H22" s="3" t="n"/>
      <c r="I22" s="3" t="n"/>
      <c r="J22" s="3" t="n"/>
      <c r="K22" s="3" t="n"/>
      <c r="L22" s="3" t="n"/>
      <c r="M22" s="3">
        <f>IF(G22="","",G22*H22)</f>
        <v/>
      </c>
      <c r="N22" s="3">
        <f>IF(G22="","",Settings!$C$5)</f>
        <v/>
      </c>
      <c r="O22" s="3">
        <f>IF(G22="","",IF(F22="SELL",M22*IF(E22="Equity Intraday",Settings!$C$8,Settings!$C$7),0))</f>
        <v/>
      </c>
      <c r="P22" s="3">
        <f>IF(G22="","",M22*(Settings!$C$9+Settings!$C$10))</f>
        <v/>
      </c>
      <c r="Q22" s="3">
        <f>IF(G22="","",IF(F22="BUY",M22*Settings!$C$11,0))</f>
        <v/>
      </c>
      <c r="R22" s="3">
        <f>IF(G22="","",N22*Settings!$C$6)</f>
        <v/>
      </c>
      <c r="S22" s="3">
        <f>IF(G22="","",IF(AND(F22="SELL",E22="Equity Delivery"),Settings!$C$13,0))</f>
        <v/>
      </c>
      <c r="T22" s="3">
        <f>IF(G22="","",SUM(N22:S22))</f>
        <v/>
      </c>
      <c r="U22" s="3">
        <f>IF(G22="","",IF(F22="BUY",-(M22+T22),M22-T22))</f>
        <v/>
      </c>
      <c r="V22">
        <f>IF(G22="","",Settings!$C$4+SUM($U$2:U22))</f>
        <v/>
      </c>
    </row>
    <row r="23">
      <c r="A23">
        <f>IF(G23="","",ROW()-1)</f>
        <v/>
      </c>
      <c r="B23" s="8" t="n"/>
      <c r="G23" s="3" t="n"/>
      <c r="H23" s="3" t="n"/>
      <c r="I23" s="3" t="n"/>
      <c r="J23" s="3" t="n"/>
      <c r="K23" s="3" t="n"/>
      <c r="L23" s="3" t="n"/>
      <c r="M23" s="3">
        <f>IF(G23="","",G23*H23)</f>
        <v/>
      </c>
      <c r="N23" s="3">
        <f>IF(G23="","",Settings!$C$5)</f>
        <v/>
      </c>
      <c r="O23" s="3">
        <f>IF(G23="","",IF(F23="SELL",M23*IF(E23="Equity Intraday",Settings!$C$8,Settings!$C$7),0))</f>
        <v/>
      </c>
      <c r="P23" s="3">
        <f>IF(G23="","",M23*(Settings!$C$9+Settings!$C$10))</f>
        <v/>
      </c>
      <c r="Q23" s="3">
        <f>IF(G23="","",IF(F23="BUY",M23*Settings!$C$11,0))</f>
        <v/>
      </c>
      <c r="R23" s="3">
        <f>IF(G23="","",N23*Settings!$C$6)</f>
        <v/>
      </c>
      <c r="S23" s="3">
        <f>IF(G23="","",IF(AND(F23="SELL",E23="Equity Delivery"),Settings!$C$13,0))</f>
        <v/>
      </c>
      <c r="T23" s="3">
        <f>IF(G23="","",SUM(N23:S23))</f>
        <v/>
      </c>
      <c r="U23" s="3">
        <f>IF(G23="","",IF(F23="BUY",-(M23+T23),M23-T23))</f>
        <v/>
      </c>
      <c r="V23">
        <f>IF(G23="","",Settings!$C$4+SUM($U$2:U23))</f>
        <v/>
      </c>
    </row>
    <row r="24">
      <c r="A24">
        <f>IF(G24="","",ROW()-1)</f>
        <v/>
      </c>
      <c r="B24" s="8" t="n"/>
      <c r="G24" s="3" t="n"/>
      <c r="H24" s="3" t="n"/>
      <c r="I24" s="3" t="n"/>
      <c r="J24" s="3" t="n"/>
      <c r="K24" s="3" t="n"/>
      <c r="L24" s="3" t="n"/>
      <c r="M24" s="3">
        <f>IF(G24="","",G24*H24)</f>
        <v/>
      </c>
      <c r="N24" s="3">
        <f>IF(G24="","",Settings!$C$5)</f>
        <v/>
      </c>
      <c r="O24" s="3">
        <f>IF(G24="","",IF(F24="SELL",M24*IF(E24="Equity Intraday",Settings!$C$8,Settings!$C$7),0))</f>
        <v/>
      </c>
      <c r="P24" s="3">
        <f>IF(G24="","",M24*(Settings!$C$9+Settings!$C$10))</f>
        <v/>
      </c>
      <c r="Q24" s="3">
        <f>IF(G24="","",IF(F24="BUY",M24*Settings!$C$11,0))</f>
        <v/>
      </c>
      <c r="R24" s="3">
        <f>IF(G24="","",N24*Settings!$C$6)</f>
        <v/>
      </c>
      <c r="S24" s="3">
        <f>IF(G24="","",IF(AND(F24="SELL",E24="Equity Delivery"),Settings!$C$13,0))</f>
        <v/>
      </c>
      <c r="T24" s="3">
        <f>IF(G24="","",SUM(N24:S24))</f>
        <v/>
      </c>
      <c r="U24" s="3">
        <f>IF(G24="","",IF(F24="BUY",-(M24+T24),M24-T24))</f>
        <v/>
      </c>
      <c r="V24">
        <f>IF(G24="","",Settings!$C$4+SUM($U$2:U24))</f>
        <v/>
      </c>
    </row>
    <row r="25">
      <c r="A25">
        <f>IF(G25="","",ROW()-1)</f>
        <v/>
      </c>
      <c r="B25" s="8" t="n"/>
      <c r="G25" s="3" t="n"/>
      <c r="H25" s="3" t="n"/>
      <c r="I25" s="3" t="n"/>
      <c r="J25" s="3" t="n"/>
      <c r="K25" s="3" t="n"/>
      <c r="L25" s="3" t="n"/>
      <c r="M25" s="3">
        <f>IF(G25="","",G25*H25)</f>
        <v/>
      </c>
      <c r="N25" s="3">
        <f>IF(G25="","",Settings!$C$5)</f>
        <v/>
      </c>
      <c r="O25" s="3">
        <f>IF(G25="","",IF(F25="SELL",M25*IF(E25="Equity Intraday",Settings!$C$8,Settings!$C$7),0))</f>
        <v/>
      </c>
      <c r="P25" s="3">
        <f>IF(G25="","",M25*(Settings!$C$9+Settings!$C$10))</f>
        <v/>
      </c>
      <c r="Q25" s="3">
        <f>IF(G25="","",IF(F25="BUY",M25*Settings!$C$11,0))</f>
        <v/>
      </c>
      <c r="R25" s="3">
        <f>IF(G25="","",N25*Settings!$C$6)</f>
        <v/>
      </c>
      <c r="S25" s="3">
        <f>IF(G25="","",IF(AND(F25="SELL",E25="Equity Delivery"),Settings!$C$13,0))</f>
        <v/>
      </c>
      <c r="T25" s="3">
        <f>IF(G25="","",SUM(N25:S25))</f>
        <v/>
      </c>
      <c r="U25" s="3">
        <f>IF(G25="","",IF(F25="BUY",-(M25+T25),M25-T25))</f>
        <v/>
      </c>
      <c r="V25">
        <f>IF(G25="","",Settings!$C$4+SUM($U$2:U25))</f>
        <v/>
      </c>
    </row>
    <row r="26">
      <c r="A26">
        <f>IF(G26="","",ROW()-1)</f>
        <v/>
      </c>
      <c r="B26" s="8" t="n"/>
      <c r="G26" s="3" t="n"/>
      <c r="H26" s="3" t="n"/>
      <c r="I26" s="3" t="n"/>
      <c r="J26" s="3" t="n"/>
      <c r="K26" s="3" t="n"/>
      <c r="L26" s="3" t="n"/>
      <c r="M26" s="3">
        <f>IF(G26="","",G26*H26)</f>
        <v/>
      </c>
      <c r="N26" s="3">
        <f>IF(G26="","",Settings!$C$5)</f>
        <v/>
      </c>
      <c r="O26" s="3">
        <f>IF(G26="","",IF(F26="SELL",M26*IF(E26="Equity Intraday",Settings!$C$8,Settings!$C$7),0))</f>
        <v/>
      </c>
      <c r="P26" s="3">
        <f>IF(G26="","",M26*(Settings!$C$9+Settings!$C$10))</f>
        <v/>
      </c>
      <c r="Q26" s="3">
        <f>IF(G26="","",IF(F26="BUY",M26*Settings!$C$11,0))</f>
        <v/>
      </c>
      <c r="R26" s="3">
        <f>IF(G26="","",N26*Settings!$C$6)</f>
        <v/>
      </c>
      <c r="S26" s="3">
        <f>IF(G26="","",IF(AND(F26="SELL",E26="Equity Delivery"),Settings!$C$13,0))</f>
        <v/>
      </c>
      <c r="T26" s="3">
        <f>IF(G26="","",SUM(N26:S26))</f>
        <v/>
      </c>
      <c r="U26" s="3">
        <f>IF(G26="","",IF(F26="BUY",-(M26+T26),M26-T26))</f>
        <v/>
      </c>
      <c r="V26">
        <f>IF(G26="","",Settings!$C$4+SUM($U$2:U26))</f>
        <v/>
      </c>
    </row>
    <row r="27">
      <c r="A27">
        <f>IF(G27="","",ROW()-1)</f>
        <v/>
      </c>
      <c r="B27" s="8" t="n"/>
      <c r="G27" s="3" t="n"/>
      <c r="H27" s="3" t="n"/>
      <c r="I27" s="3" t="n"/>
      <c r="J27" s="3" t="n"/>
      <c r="K27" s="3" t="n"/>
      <c r="L27" s="3" t="n"/>
      <c r="M27" s="3">
        <f>IF(G27="","",G27*H27)</f>
        <v/>
      </c>
      <c r="N27" s="3">
        <f>IF(G27="","",Settings!$C$5)</f>
        <v/>
      </c>
      <c r="O27" s="3">
        <f>IF(G27="","",IF(F27="SELL",M27*IF(E27="Equity Intraday",Settings!$C$8,Settings!$C$7),0))</f>
        <v/>
      </c>
      <c r="P27" s="3">
        <f>IF(G27="","",M27*(Settings!$C$9+Settings!$C$10))</f>
        <v/>
      </c>
      <c r="Q27" s="3">
        <f>IF(G27="","",IF(F27="BUY",M27*Settings!$C$11,0))</f>
        <v/>
      </c>
      <c r="R27" s="3">
        <f>IF(G27="","",N27*Settings!$C$6)</f>
        <v/>
      </c>
      <c r="S27" s="3">
        <f>IF(G27="","",IF(AND(F27="SELL",E27="Equity Delivery"),Settings!$C$13,0))</f>
        <v/>
      </c>
      <c r="T27" s="3">
        <f>IF(G27="","",SUM(N27:S27))</f>
        <v/>
      </c>
      <c r="U27" s="3">
        <f>IF(G27="","",IF(F27="BUY",-(M27+T27),M27-T27))</f>
        <v/>
      </c>
      <c r="V27">
        <f>IF(G27="","",Settings!$C$4+SUM($U$2:U27))</f>
        <v/>
      </c>
    </row>
    <row r="28">
      <c r="A28">
        <f>IF(G28="","",ROW()-1)</f>
        <v/>
      </c>
      <c r="B28" s="8" t="n"/>
      <c r="G28" s="3" t="n"/>
      <c r="H28" s="3" t="n"/>
      <c r="I28" s="3" t="n"/>
      <c r="J28" s="3" t="n"/>
      <c r="K28" s="3" t="n"/>
      <c r="L28" s="3" t="n"/>
      <c r="M28" s="3">
        <f>IF(G28="","",G28*H28)</f>
        <v/>
      </c>
      <c r="N28" s="3">
        <f>IF(G28="","",Settings!$C$5)</f>
        <v/>
      </c>
      <c r="O28" s="3">
        <f>IF(G28="","",IF(F28="SELL",M28*IF(E28="Equity Intraday",Settings!$C$8,Settings!$C$7),0))</f>
        <v/>
      </c>
      <c r="P28" s="3">
        <f>IF(G28="","",M28*(Settings!$C$9+Settings!$C$10))</f>
        <v/>
      </c>
      <c r="Q28" s="3">
        <f>IF(G28="","",IF(F28="BUY",M28*Settings!$C$11,0))</f>
        <v/>
      </c>
      <c r="R28" s="3">
        <f>IF(G28="","",N28*Settings!$C$6)</f>
        <v/>
      </c>
      <c r="S28" s="3">
        <f>IF(G28="","",IF(AND(F28="SELL",E28="Equity Delivery"),Settings!$C$13,0))</f>
        <v/>
      </c>
      <c r="T28" s="3">
        <f>IF(G28="","",SUM(N28:S28))</f>
        <v/>
      </c>
      <c r="U28" s="3">
        <f>IF(G28="","",IF(F28="BUY",-(M28+T28),M28-T28))</f>
        <v/>
      </c>
      <c r="V28">
        <f>IF(G28="","",Settings!$C$4+SUM($U$2:U28))</f>
        <v/>
      </c>
    </row>
    <row r="29">
      <c r="A29">
        <f>IF(G29="","",ROW()-1)</f>
        <v/>
      </c>
      <c r="B29" s="8" t="n"/>
      <c r="G29" s="3" t="n"/>
      <c r="H29" s="3" t="n"/>
      <c r="I29" s="3" t="n"/>
      <c r="J29" s="3" t="n"/>
      <c r="K29" s="3" t="n"/>
      <c r="L29" s="3" t="n"/>
      <c r="M29" s="3">
        <f>IF(G29="","",G29*H29)</f>
        <v/>
      </c>
      <c r="N29" s="3">
        <f>IF(G29="","",Settings!$C$5)</f>
        <v/>
      </c>
      <c r="O29" s="3">
        <f>IF(G29="","",IF(F29="SELL",M29*IF(E29="Equity Intraday",Settings!$C$8,Settings!$C$7),0))</f>
        <v/>
      </c>
      <c r="P29" s="3">
        <f>IF(G29="","",M29*(Settings!$C$9+Settings!$C$10))</f>
        <v/>
      </c>
      <c r="Q29" s="3">
        <f>IF(G29="","",IF(F29="BUY",M29*Settings!$C$11,0))</f>
        <v/>
      </c>
      <c r="R29" s="3">
        <f>IF(G29="","",N29*Settings!$C$6)</f>
        <v/>
      </c>
      <c r="S29" s="3">
        <f>IF(G29="","",IF(AND(F29="SELL",E29="Equity Delivery"),Settings!$C$13,0))</f>
        <v/>
      </c>
      <c r="T29" s="3">
        <f>IF(G29="","",SUM(N29:S29))</f>
        <v/>
      </c>
      <c r="U29" s="3">
        <f>IF(G29="","",IF(F29="BUY",-(M29+T29),M29-T29))</f>
        <v/>
      </c>
      <c r="V29">
        <f>IF(G29="","",Settings!$C$4+SUM($U$2:U29))</f>
        <v/>
      </c>
    </row>
    <row r="30">
      <c r="A30">
        <f>IF(G30="","",ROW()-1)</f>
        <v/>
      </c>
      <c r="B30" s="8" t="n"/>
      <c r="G30" s="3" t="n"/>
      <c r="H30" s="3" t="n"/>
      <c r="I30" s="3" t="n"/>
      <c r="J30" s="3" t="n"/>
      <c r="K30" s="3" t="n"/>
      <c r="L30" s="3" t="n"/>
      <c r="M30" s="3">
        <f>IF(G30="","",G30*H30)</f>
        <v/>
      </c>
      <c r="N30" s="3">
        <f>IF(G30="","",Settings!$C$5)</f>
        <v/>
      </c>
      <c r="O30" s="3">
        <f>IF(G30="","",IF(F30="SELL",M30*IF(E30="Equity Intraday",Settings!$C$8,Settings!$C$7),0))</f>
        <v/>
      </c>
      <c r="P30" s="3">
        <f>IF(G30="","",M30*(Settings!$C$9+Settings!$C$10))</f>
        <v/>
      </c>
      <c r="Q30" s="3">
        <f>IF(G30="","",IF(F30="BUY",M30*Settings!$C$11,0))</f>
        <v/>
      </c>
      <c r="R30" s="3">
        <f>IF(G30="","",N30*Settings!$C$6)</f>
        <v/>
      </c>
      <c r="S30" s="3">
        <f>IF(G30="","",IF(AND(F30="SELL",E30="Equity Delivery"),Settings!$C$13,0))</f>
        <v/>
      </c>
      <c r="T30" s="3">
        <f>IF(G30="","",SUM(N30:S30))</f>
        <v/>
      </c>
      <c r="U30" s="3">
        <f>IF(G30="","",IF(F30="BUY",-(M30+T30),M30-T30))</f>
        <v/>
      </c>
      <c r="V30">
        <f>IF(G30="","",Settings!$C$4+SUM($U$2:U30))</f>
        <v/>
      </c>
    </row>
    <row r="31">
      <c r="A31">
        <f>IF(G31="","",ROW()-1)</f>
        <v/>
      </c>
      <c r="B31" s="8" t="n"/>
      <c r="G31" s="3" t="n"/>
      <c r="H31" s="3" t="n"/>
      <c r="I31" s="3" t="n"/>
      <c r="J31" s="3" t="n"/>
      <c r="K31" s="3" t="n"/>
      <c r="L31" s="3" t="n"/>
      <c r="M31" s="3">
        <f>IF(G31="","",G31*H31)</f>
        <v/>
      </c>
      <c r="N31" s="3">
        <f>IF(G31="","",Settings!$C$5)</f>
        <v/>
      </c>
      <c r="O31" s="3">
        <f>IF(G31="","",IF(F31="SELL",M31*IF(E31="Equity Intraday",Settings!$C$8,Settings!$C$7),0))</f>
        <v/>
      </c>
      <c r="P31" s="3">
        <f>IF(G31="","",M31*(Settings!$C$9+Settings!$C$10))</f>
        <v/>
      </c>
      <c r="Q31" s="3">
        <f>IF(G31="","",IF(F31="BUY",M31*Settings!$C$11,0))</f>
        <v/>
      </c>
      <c r="R31" s="3">
        <f>IF(G31="","",N31*Settings!$C$6)</f>
        <v/>
      </c>
      <c r="S31" s="3">
        <f>IF(G31="","",IF(AND(F31="SELL",E31="Equity Delivery"),Settings!$C$13,0))</f>
        <v/>
      </c>
      <c r="T31" s="3">
        <f>IF(G31="","",SUM(N31:S31))</f>
        <v/>
      </c>
      <c r="U31" s="3">
        <f>IF(G31="","",IF(F31="BUY",-(M31+T31),M31-T31))</f>
        <v/>
      </c>
      <c r="V31">
        <f>IF(G31="","",Settings!$C$4+SUM($U$2:U31))</f>
        <v/>
      </c>
    </row>
    <row r="32">
      <c r="A32">
        <f>IF(G32="","",ROW()-1)</f>
        <v/>
      </c>
      <c r="B32" s="8" t="n"/>
      <c r="G32" s="3" t="n"/>
      <c r="H32" s="3" t="n"/>
      <c r="I32" s="3" t="n"/>
      <c r="J32" s="3" t="n"/>
      <c r="K32" s="3" t="n"/>
      <c r="L32" s="3" t="n"/>
      <c r="M32" s="3">
        <f>IF(G32="","",G32*H32)</f>
        <v/>
      </c>
      <c r="N32" s="3">
        <f>IF(G32="","",Settings!$C$5)</f>
        <v/>
      </c>
      <c r="O32" s="3">
        <f>IF(G32="","",IF(F32="SELL",M32*IF(E32="Equity Intraday",Settings!$C$8,Settings!$C$7),0))</f>
        <v/>
      </c>
      <c r="P32" s="3">
        <f>IF(G32="","",M32*(Settings!$C$9+Settings!$C$10))</f>
        <v/>
      </c>
      <c r="Q32" s="3">
        <f>IF(G32="","",IF(F32="BUY",M32*Settings!$C$11,0))</f>
        <v/>
      </c>
      <c r="R32" s="3">
        <f>IF(G32="","",N32*Settings!$C$6)</f>
        <v/>
      </c>
      <c r="S32" s="3">
        <f>IF(G32="","",IF(AND(F32="SELL",E32="Equity Delivery"),Settings!$C$13,0))</f>
        <v/>
      </c>
      <c r="T32" s="3">
        <f>IF(G32="","",SUM(N32:S32))</f>
        <v/>
      </c>
      <c r="U32" s="3">
        <f>IF(G32="","",IF(F32="BUY",-(M32+T32),M32-T32))</f>
        <v/>
      </c>
      <c r="V32">
        <f>IF(G32="","",Settings!$C$4+SUM($U$2:U32))</f>
        <v/>
      </c>
    </row>
    <row r="33">
      <c r="A33">
        <f>IF(G33="","",ROW()-1)</f>
        <v/>
      </c>
      <c r="B33" s="8" t="n"/>
      <c r="G33" s="3" t="n"/>
      <c r="H33" s="3" t="n"/>
      <c r="I33" s="3" t="n"/>
      <c r="J33" s="3" t="n"/>
      <c r="K33" s="3" t="n"/>
      <c r="L33" s="3" t="n"/>
      <c r="M33" s="3">
        <f>IF(G33="","",G33*H33)</f>
        <v/>
      </c>
      <c r="N33" s="3">
        <f>IF(G33="","",Settings!$C$5)</f>
        <v/>
      </c>
      <c r="O33" s="3">
        <f>IF(G33="","",IF(F33="SELL",M33*IF(E33="Equity Intraday",Settings!$C$8,Settings!$C$7),0))</f>
        <v/>
      </c>
      <c r="P33" s="3">
        <f>IF(G33="","",M33*(Settings!$C$9+Settings!$C$10))</f>
        <v/>
      </c>
      <c r="Q33" s="3">
        <f>IF(G33="","",IF(F33="BUY",M33*Settings!$C$11,0))</f>
        <v/>
      </c>
      <c r="R33" s="3">
        <f>IF(G33="","",N33*Settings!$C$6)</f>
        <v/>
      </c>
      <c r="S33" s="3">
        <f>IF(G33="","",IF(AND(F33="SELL",E33="Equity Delivery"),Settings!$C$13,0))</f>
        <v/>
      </c>
      <c r="T33" s="3">
        <f>IF(G33="","",SUM(N33:S33))</f>
        <v/>
      </c>
      <c r="U33" s="3">
        <f>IF(G33="","",IF(F33="BUY",-(M33+T33),M33-T33))</f>
        <v/>
      </c>
      <c r="V33">
        <f>IF(G33="","",Settings!$C$4+SUM($U$2:U33))</f>
        <v/>
      </c>
    </row>
    <row r="34">
      <c r="A34">
        <f>IF(G34="","",ROW()-1)</f>
        <v/>
      </c>
      <c r="B34" s="8" t="n"/>
      <c r="G34" s="3" t="n"/>
      <c r="H34" s="3" t="n"/>
      <c r="I34" s="3" t="n"/>
      <c r="J34" s="3" t="n"/>
      <c r="K34" s="3" t="n"/>
      <c r="L34" s="3" t="n"/>
      <c r="M34" s="3">
        <f>IF(G34="","",G34*H34)</f>
        <v/>
      </c>
      <c r="N34" s="3">
        <f>IF(G34="","",Settings!$C$5)</f>
        <v/>
      </c>
      <c r="O34" s="3">
        <f>IF(G34="","",IF(F34="SELL",M34*IF(E34="Equity Intraday",Settings!$C$8,Settings!$C$7),0))</f>
        <v/>
      </c>
      <c r="P34" s="3">
        <f>IF(G34="","",M34*(Settings!$C$9+Settings!$C$10))</f>
        <v/>
      </c>
      <c r="Q34" s="3">
        <f>IF(G34="","",IF(F34="BUY",M34*Settings!$C$11,0))</f>
        <v/>
      </c>
      <c r="R34" s="3">
        <f>IF(G34="","",N34*Settings!$C$6)</f>
        <v/>
      </c>
      <c r="S34" s="3">
        <f>IF(G34="","",IF(AND(F34="SELL",E34="Equity Delivery"),Settings!$C$13,0))</f>
        <v/>
      </c>
      <c r="T34" s="3">
        <f>IF(G34="","",SUM(N34:S34))</f>
        <v/>
      </c>
      <c r="U34" s="3">
        <f>IF(G34="","",IF(F34="BUY",-(M34+T34),M34-T34))</f>
        <v/>
      </c>
      <c r="V34">
        <f>IF(G34="","",Settings!$C$4+SUM($U$2:U34))</f>
        <v/>
      </c>
    </row>
    <row r="35">
      <c r="A35">
        <f>IF(G35="","",ROW()-1)</f>
        <v/>
      </c>
      <c r="B35" s="8" t="n"/>
      <c r="G35" s="3" t="n"/>
      <c r="H35" s="3" t="n"/>
      <c r="I35" s="3" t="n"/>
      <c r="J35" s="3" t="n"/>
      <c r="K35" s="3" t="n"/>
      <c r="L35" s="3" t="n"/>
      <c r="M35" s="3">
        <f>IF(G35="","",G35*H35)</f>
        <v/>
      </c>
      <c r="N35" s="3">
        <f>IF(G35="","",Settings!$C$5)</f>
        <v/>
      </c>
      <c r="O35" s="3">
        <f>IF(G35="","",IF(F35="SELL",M35*IF(E35="Equity Intraday",Settings!$C$8,Settings!$C$7),0))</f>
        <v/>
      </c>
      <c r="P35" s="3">
        <f>IF(G35="","",M35*(Settings!$C$9+Settings!$C$10))</f>
        <v/>
      </c>
      <c r="Q35" s="3">
        <f>IF(G35="","",IF(F35="BUY",M35*Settings!$C$11,0))</f>
        <v/>
      </c>
      <c r="R35" s="3">
        <f>IF(G35="","",N35*Settings!$C$6)</f>
        <v/>
      </c>
      <c r="S35" s="3">
        <f>IF(G35="","",IF(AND(F35="SELL",E35="Equity Delivery"),Settings!$C$13,0))</f>
        <v/>
      </c>
      <c r="T35" s="3">
        <f>IF(G35="","",SUM(N35:S35))</f>
        <v/>
      </c>
      <c r="U35" s="3">
        <f>IF(G35="","",IF(F35="BUY",-(M35+T35),M35-T35))</f>
        <v/>
      </c>
      <c r="V35">
        <f>IF(G35="","",Settings!$C$4+SUM($U$2:U35))</f>
        <v/>
      </c>
    </row>
    <row r="36">
      <c r="A36">
        <f>IF(G36="","",ROW()-1)</f>
        <v/>
      </c>
      <c r="B36" s="8" t="n"/>
      <c r="G36" s="3" t="n"/>
      <c r="H36" s="3" t="n"/>
      <c r="I36" s="3" t="n"/>
      <c r="J36" s="3" t="n"/>
      <c r="K36" s="3" t="n"/>
      <c r="L36" s="3" t="n"/>
      <c r="M36" s="3">
        <f>IF(G36="","",G36*H36)</f>
        <v/>
      </c>
      <c r="N36" s="3">
        <f>IF(G36="","",Settings!$C$5)</f>
        <v/>
      </c>
      <c r="O36" s="3">
        <f>IF(G36="","",IF(F36="SELL",M36*IF(E36="Equity Intraday",Settings!$C$8,Settings!$C$7),0))</f>
        <v/>
      </c>
      <c r="P36" s="3">
        <f>IF(G36="","",M36*(Settings!$C$9+Settings!$C$10))</f>
        <v/>
      </c>
      <c r="Q36" s="3">
        <f>IF(G36="","",IF(F36="BUY",M36*Settings!$C$11,0))</f>
        <v/>
      </c>
      <c r="R36" s="3">
        <f>IF(G36="","",N36*Settings!$C$6)</f>
        <v/>
      </c>
      <c r="S36" s="3">
        <f>IF(G36="","",IF(AND(F36="SELL",E36="Equity Delivery"),Settings!$C$13,0))</f>
        <v/>
      </c>
      <c r="T36" s="3">
        <f>IF(G36="","",SUM(N36:S36))</f>
        <v/>
      </c>
      <c r="U36" s="3">
        <f>IF(G36="","",IF(F36="BUY",-(M36+T36),M36-T36))</f>
        <v/>
      </c>
      <c r="V36">
        <f>IF(G36="","",Settings!$C$4+SUM($U$2:U36))</f>
        <v/>
      </c>
    </row>
    <row r="37">
      <c r="A37">
        <f>IF(G37="","",ROW()-1)</f>
        <v/>
      </c>
      <c r="B37" s="8" t="n"/>
      <c r="G37" s="3" t="n"/>
      <c r="H37" s="3" t="n"/>
      <c r="I37" s="3" t="n"/>
      <c r="J37" s="3" t="n"/>
      <c r="K37" s="3" t="n"/>
      <c r="L37" s="3" t="n"/>
      <c r="M37" s="3">
        <f>IF(G37="","",G37*H37)</f>
        <v/>
      </c>
      <c r="N37" s="3">
        <f>IF(G37="","",Settings!$C$5)</f>
        <v/>
      </c>
      <c r="O37" s="3">
        <f>IF(G37="","",IF(F37="SELL",M37*IF(E37="Equity Intraday",Settings!$C$8,Settings!$C$7),0))</f>
        <v/>
      </c>
      <c r="P37" s="3">
        <f>IF(G37="","",M37*(Settings!$C$9+Settings!$C$10))</f>
        <v/>
      </c>
      <c r="Q37" s="3">
        <f>IF(G37="","",IF(F37="BUY",M37*Settings!$C$11,0))</f>
        <v/>
      </c>
      <c r="R37" s="3">
        <f>IF(G37="","",N37*Settings!$C$6)</f>
        <v/>
      </c>
      <c r="S37" s="3">
        <f>IF(G37="","",IF(AND(F37="SELL",E37="Equity Delivery"),Settings!$C$13,0))</f>
        <v/>
      </c>
      <c r="T37" s="3">
        <f>IF(G37="","",SUM(N37:S37))</f>
        <v/>
      </c>
      <c r="U37" s="3">
        <f>IF(G37="","",IF(F37="BUY",-(M37+T37),M37-T37))</f>
        <v/>
      </c>
      <c r="V37">
        <f>IF(G37="","",Settings!$C$4+SUM($U$2:U37))</f>
        <v/>
      </c>
    </row>
    <row r="38">
      <c r="A38">
        <f>IF(G38="","",ROW()-1)</f>
        <v/>
      </c>
      <c r="B38" s="8" t="n"/>
      <c r="G38" s="3" t="n"/>
      <c r="H38" s="3" t="n"/>
      <c r="I38" s="3" t="n"/>
      <c r="J38" s="3" t="n"/>
      <c r="K38" s="3" t="n"/>
      <c r="L38" s="3" t="n"/>
      <c r="M38" s="3">
        <f>IF(G38="","",G38*H38)</f>
        <v/>
      </c>
      <c r="N38" s="3">
        <f>IF(G38="","",Settings!$C$5)</f>
        <v/>
      </c>
      <c r="O38" s="3">
        <f>IF(G38="","",IF(F38="SELL",M38*IF(E38="Equity Intraday",Settings!$C$8,Settings!$C$7),0))</f>
        <v/>
      </c>
      <c r="P38" s="3">
        <f>IF(G38="","",M38*(Settings!$C$9+Settings!$C$10))</f>
        <v/>
      </c>
      <c r="Q38" s="3">
        <f>IF(G38="","",IF(F38="BUY",M38*Settings!$C$11,0))</f>
        <v/>
      </c>
      <c r="R38" s="3">
        <f>IF(G38="","",N38*Settings!$C$6)</f>
        <v/>
      </c>
      <c r="S38" s="3">
        <f>IF(G38="","",IF(AND(F38="SELL",E38="Equity Delivery"),Settings!$C$13,0))</f>
        <v/>
      </c>
      <c r="T38" s="3">
        <f>IF(G38="","",SUM(N38:S38))</f>
        <v/>
      </c>
      <c r="U38" s="3">
        <f>IF(G38="","",IF(F38="BUY",-(M38+T38),M38-T38))</f>
        <v/>
      </c>
      <c r="V38">
        <f>IF(G38="","",Settings!$C$4+SUM($U$2:U38))</f>
        <v/>
      </c>
    </row>
    <row r="39">
      <c r="A39">
        <f>IF(G39="","",ROW()-1)</f>
        <v/>
      </c>
      <c r="B39" s="8" t="n"/>
      <c r="G39" s="3" t="n"/>
      <c r="H39" s="3" t="n"/>
      <c r="I39" s="3" t="n"/>
      <c r="J39" s="3" t="n"/>
      <c r="K39" s="3" t="n"/>
      <c r="L39" s="3" t="n"/>
      <c r="M39" s="3">
        <f>IF(G39="","",G39*H39)</f>
        <v/>
      </c>
      <c r="N39" s="3">
        <f>IF(G39="","",Settings!$C$5)</f>
        <v/>
      </c>
      <c r="O39" s="3">
        <f>IF(G39="","",IF(F39="SELL",M39*IF(E39="Equity Intraday",Settings!$C$8,Settings!$C$7),0))</f>
        <v/>
      </c>
      <c r="P39" s="3">
        <f>IF(G39="","",M39*(Settings!$C$9+Settings!$C$10))</f>
        <v/>
      </c>
      <c r="Q39" s="3">
        <f>IF(G39="","",IF(F39="BUY",M39*Settings!$C$11,0))</f>
        <v/>
      </c>
      <c r="R39" s="3">
        <f>IF(G39="","",N39*Settings!$C$6)</f>
        <v/>
      </c>
      <c r="S39" s="3">
        <f>IF(G39="","",IF(AND(F39="SELL",E39="Equity Delivery"),Settings!$C$13,0))</f>
        <v/>
      </c>
      <c r="T39" s="3">
        <f>IF(G39="","",SUM(N39:S39))</f>
        <v/>
      </c>
      <c r="U39" s="3">
        <f>IF(G39="","",IF(F39="BUY",-(M39+T39),M39-T39))</f>
        <v/>
      </c>
      <c r="V39">
        <f>IF(G39="","",Settings!$C$4+SUM($U$2:U39))</f>
        <v/>
      </c>
    </row>
    <row r="40">
      <c r="A40">
        <f>IF(G40="","",ROW()-1)</f>
        <v/>
      </c>
      <c r="B40" s="8" t="n"/>
      <c r="G40" s="3" t="n"/>
      <c r="H40" s="3" t="n"/>
      <c r="I40" s="3" t="n"/>
      <c r="J40" s="3" t="n"/>
      <c r="K40" s="3" t="n"/>
      <c r="L40" s="3" t="n"/>
      <c r="M40" s="3">
        <f>IF(G40="","",G40*H40)</f>
        <v/>
      </c>
      <c r="N40" s="3">
        <f>IF(G40="","",Settings!$C$5)</f>
        <v/>
      </c>
      <c r="O40" s="3">
        <f>IF(G40="","",IF(F40="SELL",M40*IF(E40="Equity Intraday",Settings!$C$8,Settings!$C$7),0))</f>
        <v/>
      </c>
      <c r="P40" s="3">
        <f>IF(G40="","",M40*(Settings!$C$9+Settings!$C$10))</f>
        <v/>
      </c>
      <c r="Q40" s="3">
        <f>IF(G40="","",IF(F40="BUY",M40*Settings!$C$11,0))</f>
        <v/>
      </c>
      <c r="R40" s="3">
        <f>IF(G40="","",N40*Settings!$C$6)</f>
        <v/>
      </c>
      <c r="S40" s="3">
        <f>IF(G40="","",IF(AND(F40="SELL",E40="Equity Delivery"),Settings!$C$13,0))</f>
        <v/>
      </c>
      <c r="T40" s="3">
        <f>IF(G40="","",SUM(N40:S40))</f>
        <v/>
      </c>
      <c r="U40" s="3">
        <f>IF(G40="","",IF(F40="BUY",-(M40+T40),M40-T40))</f>
        <v/>
      </c>
      <c r="V40">
        <f>IF(G40="","",Settings!$C$4+SUM($U$2:U40))</f>
        <v/>
      </c>
    </row>
    <row r="41">
      <c r="A41">
        <f>IF(G41="","",ROW()-1)</f>
        <v/>
      </c>
      <c r="B41" s="8" t="n"/>
      <c r="G41" s="3" t="n"/>
      <c r="H41" s="3" t="n"/>
      <c r="I41" s="3" t="n"/>
      <c r="J41" s="3" t="n"/>
      <c r="K41" s="3" t="n"/>
      <c r="L41" s="3" t="n"/>
      <c r="M41" s="3">
        <f>IF(G41="","",G41*H41)</f>
        <v/>
      </c>
      <c r="N41" s="3">
        <f>IF(G41="","",Settings!$C$5)</f>
        <v/>
      </c>
      <c r="O41" s="3">
        <f>IF(G41="","",IF(F41="SELL",M41*IF(E41="Equity Intraday",Settings!$C$8,Settings!$C$7),0))</f>
        <v/>
      </c>
      <c r="P41" s="3">
        <f>IF(G41="","",M41*(Settings!$C$9+Settings!$C$10))</f>
        <v/>
      </c>
      <c r="Q41" s="3">
        <f>IF(G41="","",IF(F41="BUY",M41*Settings!$C$11,0))</f>
        <v/>
      </c>
      <c r="R41" s="3">
        <f>IF(G41="","",N41*Settings!$C$6)</f>
        <v/>
      </c>
      <c r="S41" s="3">
        <f>IF(G41="","",IF(AND(F41="SELL",E41="Equity Delivery"),Settings!$C$13,0))</f>
        <v/>
      </c>
      <c r="T41" s="3">
        <f>IF(G41="","",SUM(N41:S41))</f>
        <v/>
      </c>
      <c r="U41" s="3">
        <f>IF(G41="","",IF(F41="BUY",-(M41+T41),M41-T41))</f>
        <v/>
      </c>
      <c r="V41">
        <f>IF(G41="","",Settings!$C$4+SUM($U$2:U41))</f>
        <v/>
      </c>
    </row>
    <row r="42">
      <c r="A42">
        <f>IF(G42="","",ROW()-1)</f>
        <v/>
      </c>
      <c r="B42" s="8" t="n"/>
      <c r="G42" s="3" t="n"/>
      <c r="H42" s="3" t="n"/>
      <c r="I42" s="3" t="n"/>
      <c r="J42" s="3" t="n"/>
      <c r="K42" s="3" t="n"/>
      <c r="L42" s="3" t="n"/>
      <c r="M42" s="3">
        <f>IF(G42="","",G42*H42)</f>
        <v/>
      </c>
      <c r="N42" s="3">
        <f>IF(G42="","",Settings!$C$5)</f>
        <v/>
      </c>
      <c r="O42" s="3">
        <f>IF(G42="","",IF(F42="SELL",M42*IF(E42="Equity Intraday",Settings!$C$8,Settings!$C$7),0))</f>
        <v/>
      </c>
      <c r="P42" s="3">
        <f>IF(G42="","",M42*(Settings!$C$9+Settings!$C$10))</f>
        <v/>
      </c>
      <c r="Q42" s="3">
        <f>IF(G42="","",IF(F42="BUY",M42*Settings!$C$11,0))</f>
        <v/>
      </c>
      <c r="R42" s="3">
        <f>IF(G42="","",N42*Settings!$C$6)</f>
        <v/>
      </c>
      <c r="S42" s="3">
        <f>IF(G42="","",IF(AND(F42="SELL",E42="Equity Delivery"),Settings!$C$13,0))</f>
        <v/>
      </c>
      <c r="T42" s="3">
        <f>IF(G42="","",SUM(N42:S42))</f>
        <v/>
      </c>
      <c r="U42" s="3">
        <f>IF(G42="","",IF(F42="BUY",-(M42+T42),M42-T42))</f>
        <v/>
      </c>
      <c r="V42">
        <f>IF(G42="","",Settings!$C$4+SUM($U$2:U42))</f>
        <v/>
      </c>
    </row>
    <row r="43">
      <c r="A43">
        <f>IF(G43="","",ROW()-1)</f>
        <v/>
      </c>
      <c r="B43" s="8" t="n"/>
      <c r="G43" s="3" t="n"/>
      <c r="H43" s="3" t="n"/>
      <c r="I43" s="3" t="n"/>
      <c r="J43" s="3" t="n"/>
      <c r="K43" s="3" t="n"/>
      <c r="L43" s="3" t="n"/>
      <c r="M43" s="3">
        <f>IF(G43="","",G43*H43)</f>
        <v/>
      </c>
      <c r="N43" s="3">
        <f>IF(G43="","",Settings!$C$5)</f>
        <v/>
      </c>
      <c r="O43" s="3">
        <f>IF(G43="","",IF(F43="SELL",M43*IF(E43="Equity Intraday",Settings!$C$8,Settings!$C$7),0))</f>
        <v/>
      </c>
      <c r="P43" s="3">
        <f>IF(G43="","",M43*(Settings!$C$9+Settings!$C$10))</f>
        <v/>
      </c>
      <c r="Q43" s="3">
        <f>IF(G43="","",IF(F43="BUY",M43*Settings!$C$11,0))</f>
        <v/>
      </c>
      <c r="R43" s="3">
        <f>IF(G43="","",N43*Settings!$C$6)</f>
        <v/>
      </c>
      <c r="S43" s="3">
        <f>IF(G43="","",IF(AND(F43="SELL",E43="Equity Delivery"),Settings!$C$13,0))</f>
        <v/>
      </c>
      <c r="T43" s="3">
        <f>IF(G43="","",SUM(N43:S43))</f>
        <v/>
      </c>
      <c r="U43" s="3">
        <f>IF(G43="","",IF(F43="BUY",-(M43+T43),M43-T43))</f>
        <v/>
      </c>
      <c r="V43">
        <f>IF(G43="","",Settings!$C$4+SUM($U$2:U43))</f>
        <v/>
      </c>
    </row>
    <row r="44">
      <c r="A44">
        <f>IF(G44="","",ROW()-1)</f>
        <v/>
      </c>
      <c r="B44" s="8" t="n"/>
      <c r="G44" s="3" t="n"/>
      <c r="H44" s="3" t="n"/>
      <c r="I44" s="3" t="n"/>
      <c r="J44" s="3" t="n"/>
      <c r="K44" s="3" t="n"/>
      <c r="L44" s="3" t="n"/>
      <c r="M44" s="3">
        <f>IF(G44="","",G44*H44)</f>
        <v/>
      </c>
      <c r="N44" s="3">
        <f>IF(G44="","",Settings!$C$5)</f>
        <v/>
      </c>
      <c r="O44" s="3">
        <f>IF(G44="","",IF(F44="SELL",M44*IF(E44="Equity Intraday",Settings!$C$8,Settings!$C$7),0))</f>
        <v/>
      </c>
      <c r="P44" s="3">
        <f>IF(G44="","",M44*(Settings!$C$9+Settings!$C$10))</f>
        <v/>
      </c>
      <c r="Q44" s="3">
        <f>IF(G44="","",IF(F44="BUY",M44*Settings!$C$11,0))</f>
        <v/>
      </c>
      <c r="R44" s="3">
        <f>IF(G44="","",N44*Settings!$C$6)</f>
        <v/>
      </c>
      <c r="S44" s="3">
        <f>IF(G44="","",IF(AND(F44="SELL",E44="Equity Delivery"),Settings!$C$13,0))</f>
        <v/>
      </c>
      <c r="T44" s="3">
        <f>IF(G44="","",SUM(N44:S44))</f>
        <v/>
      </c>
      <c r="U44" s="3">
        <f>IF(G44="","",IF(F44="BUY",-(M44+T44),M44-T44))</f>
        <v/>
      </c>
      <c r="V44">
        <f>IF(G44="","",Settings!$C$4+SUM($U$2:U44))</f>
        <v/>
      </c>
    </row>
    <row r="45">
      <c r="A45">
        <f>IF(G45="","",ROW()-1)</f>
        <v/>
      </c>
      <c r="B45" s="8" t="n"/>
      <c r="G45" s="3" t="n"/>
      <c r="H45" s="3" t="n"/>
      <c r="I45" s="3" t="n"/>
      <c r="J45" s="3" t="n"/>
      <c r="K45" s="3" t="n"/>
      <c r="L45" s="3" t="n"/>
      <c r="M45" s="3">
        <f>IF(G45="","",G45*H45)</f>
        <v/>
      </c>
      <c r="N45" s="3">
        <f>IF(G45="","",Settings!$C$5)</f>
        <v/>
      </c>
      <c r="O45" s="3">
        <f>IF(G45="","",IF(F45="SELL",M45*IF(E45="Equity Intraday",Settings!$C$8,Settings!$C$7),0))</f>
        <v/>
      </c>
      <c r="P45" s="3">
        <f>IF(G45="","",M45*(Settings!$C$9+Settings!$C$10))</f>
        <v/>
      </c>
      <c r="Q45" s="3">
        <f>IF(G45="","",IF(F45="BUY",M45*Settings!$C$11,0))</f>
        <v/>
      </c>
      <c r="R45" s="3">
        <f>IF(G45="","",N45*Settings!$C$6)</f>
        <v/>
      </c>
      <c r="S45" s="3">
        <f>IF(G45="","",IF(AND(F45="SELL",E45="Equity Delivery"),Settings!$C$13,0))</f>
        <v/>
      </c>
      <c r="T45" s="3">
        <f>IF(G45="","",SUM(N45:S45))</f>
        <v/>
      </c>
      <c r="U45" s="3">
        <f>IF(G45="","",IF(F45="BUY",-(M45+T45),M45-T45))</f>
        <v/>
      </c>
      <c r="V45">
        <f>IF(G45="","",Settings!$C$4+SUM($U$2:U45))</f>
        <v/>
      </c>
    </row>
    <row r="46">
      <c r="A46">
        <f>IF(G46="","",ROW()-1)</f>
        <v/>
      </c>
      <c r="B46" s="8" t="n"/>
      <c r="G46" s="3" t="n"/>
      <c r="H46" s="3" t="n"/>
      <c r="I46" s="3" t="n"/>
      <c r="J46" s="3" t="n"/>
      <c r="K46" s="3" t="n"/>
      <c r="L46" s="3" t="n"/>
      <c r="M46" s="3">
        <f>IF(G46="","",G46*H46)</f>
        <v/>
      </c>
      <c r="N46" s="3">
        <f>IF(G46="","",Settings!$C$5)</f>
        <v/>
      </c>
      <c r="O46" s="3">
        <f>IF(G46="","",IF(F46="SELL",M46*IF(E46="Equity Intraday",Settings!$C$8,Settings!$C$7),0))</f>
        <v/>
      </c>
      <c r="P46" s="3">
        <f>IF(G46="","",M46*(Settings!$C$9+Settings!$C$10))</f>
        <v/>
      </c>
      <c r="Q46" s="3">
        <f>IF(G46="","",IF(F46="BUY",M46*Settings!$C$11,0))</f>
        <v/>
      </c>
      <c r="R46" s="3">
        <f>IF(G46="","",N46*Settings!$C$6)</f>
        <v/>
      </c>
      <c r="S46" s="3">
        <f>IF(G46="","",IF(AND(F46="SELL",E46="Equity Delivery"),Settings!$C$13,0))</f>
        <v/>
      </c>
      <c r="T46" s="3">
        <f>IF(G46="","",SUM(N46:S46))</f>
        <v/>
      </c>
      <c r="U46" s="3">
        <f>IF(G46="","",IF(F46="BUY",-(M46+T46),M46-T46))</f>
        <v/>
      </c>
      <c r="V46">
        <f>IF(G46="","",Settings!$C$4+SUM($U$2:U46))</f>
        <v/>
      </c>
    </row>
    <row r="47">
      <c r="A47">
        <f>IF(G47="","",ROW()-1)</f>
        <v/>
      </c>
      <c r="B47" s="8" t="n"/>
      <c r="G47" s="3" t="n"/>
      <c r="H47" s="3" t="n"/>
      <c r="I47" s="3" t="n"/>
      <c r="J47" s="3" t="n"/>
      <c r="K47" s="3" t="n"/>
      <c r="L47" s="3" t="n"/>
      <c r="M47" s="3">
        <f>IF(G47="","",G47*H47)</f>
        <v/>
      </c>
      <c r="N47" s="3">
        <f>IF(G47="","",Settings!$C$5)</f>
        <v/>
      </c>
      <c r="O47" s="3">
        <f>IF(G47="","",IF(F47="SELL",M47*IF(E47="Equity Intraday",Settings!$C$8,Settings!$C$7),0))</f>
        <v/>
      </c>
      <c r="P47" s="3">
        <f>IF(G47="","",M47*(Settings!$C$9+Settings!$C$10))</f>
        <v/>
      </c>
      <c r="Q47" s="3">
        <f>IF(G47="","",IF(F47="BUY",M47*Settings!$C$11,0))</f>
        <v/>
      </c>
      <c r="R47" s="3">
        <f>IF(G47="","",N47*Settings!$C$6)</f>
        <v/>
      </c>
      <c r="S47" s="3">
        <f>IF(G47="","",IF(AND(F47="SELL",E47="Equity Delivery"),Settings!$C$13,0))</f>
        <v/>
      </c>
      <c r="T47" s="3">
        <f>IF(G47="","",SUM(N47:S47))</f>
        <v/>
      </c>
      <c r="U47" s="3">
        <f>IF(G47="","",IF(F47="BUY",-(M47+T47),M47-T47))</f>
        <v/>
      </c>
      <c r="V47">
        <f>IF(G47="","",Settings!$C$4+SUM($U$2:U47))</f>
        <v/>
      </c>
    </row>
    <row r="48">
      <c r="A48">
        <f>IF(G48="","",ROW()-1)</f>
        <v/>
      </c>
      <c r="B48" s="8" t="n"/>
      <c r="G48" s="3" t="n"/>
      <c r="H48" s="3" t="n"/>
      <c r="I48" s="3" t="n"/>
      <c r="J48" s="3" t="n"/>
      <c r="K48" s="3" t="n"/>
      <c r="L48" s="3" t="n"/>
      <c r="M48" s="3">
        <f>IF(G48="","",G48*H48)</f>
        <v/>
      </c>
      <c r="N48" s="3">
        <f>IF(G48="","",Settings!$C$5)</f>
        <v/>
      </c>
      <c r="O48" s="3">
        <f>IF(G48="","",IF(F48="SELL",M48*IF(E48="Equity Intraday",Settings!$C$8,Settings!$C$7),0))</f>
        <v/>
      </c>
      <c r="P48" s="3">
        <f>IF(G48="","",M48*(Settings!$C$9+Settings!$C$10))</f>
        <v/>
      </c>
      <c r="Q48" s="3">
        <f>IF(G48="","",IF(F48="BUY",M48*Settings!$C$11,0))</f>
        <v/>
      </c>
      <c r="R48" s="3">
        <f>IF(G48="","",N48*Settings!$C$6)</f>
        <v/>
      </c>
      <c r="S48" s="3">
        <f>IF(G48="","",IF(AND(F48="SELL",E48="Equity Delivery"),Settings!$C$13,0))</f>
        <v/>
      </c>
      <c r="T48" s="3">
        <f>IF(G48="","",SUM(N48:S48))</f>
        <v/>
      </c>
      <c r="U48" s="3">
        <f>IF(G48="","",IF(F48="BUY",-(M48+T48),M48-T48))</f>
        <v/>
      </c>
      <c r="V48">
        <f>IF(G48="","",Settings!$C$4+SUM($U$2:U48))</f>
        <v/>
      </c>
    </row>
    <row r="49">
      <c r="A49">
        <f>IF(G49="","",ROW()-1)</f>
        <v/>
      </c>
      <c r="B49" s="8" t="n"/>
      <c r="G49" s="3" t="n"/>
      <c r="H49" s="3" t="n"/>
      <c r="I49" s="3" t="n"/>
      <c r="J49" s="3" t="n"/>
      <c r="K49" s="3" t="n"/>
      <c r="L49" s="3" t="n"/>
      <c r="M49" s="3">
        <f>IF(G49="","",G49*H49)</f>
        <v/>
      </c>
      <c r="N49" s="3">
        <f>IF(G49="","",Settings!$C$5)</f>
        <v/>
      </c>
      <c r="O49" s="3">
        <f>IF(G49="","",IF(F49="SELL",M49*IF(E49="Equity Intraday",Settings!$C$8,Settings!$C$7),0))</f>
        <v/>
      </c>
      <c r="P49" s="3">
        <f>IF(G49="","",M49*(Settings!$C$9+Settings!$C$10))</f>
        <v/>
      </c>
      <c r="Q49" s="3">
        <f>IF(G49="","",IF(F49="BUY",M49*Settings!$C$11,0))</f>
        <v/>
      </c>
      <c r="R49" s="3">
        <f>IF(G49="","",N49*Settings!$C$6)</f>
        <v/>
      </c>
      <c r="S49" s="3">
        <f>IF(G49="","",IF(AND(F49="SELL",E49="Equity Delivery"),Settings!$C$13,0))</f>
        <v/>
      </c>
      <c r="T49" s="3">
        <f>IF(G49="","",SUM(N49:S49))</f>
        <v/>
      </c>
      <c r="U49" s="3">
        <f>IF(G49="","",IF(F49="BUY",-(M49+T49),M49-T49))</f>
        <v/>
      </c>
      <c r="V49">
        <f>IF(G49="","",Settings!$C$4+SUM($U$2:U49))</f>
        <v/>
      </c>
    </row>
    <row r="50">
      <c r="A50">
        <f>IF(G50="","",ROW()-1)</f>
        <v/>
      </c>
      <c r="B50" s="8" t="n"/>
      <c r="G50" s="3" t="n"/>
      <c r="H50" s="3" t="n"/>
      <c r="I50" s="3" t="n"/>
      <c r="J50" s="3" t="n"/>
      <c r="K50" s="3" t="n"/>
      <c r="L50" s="3" t="n"/>
      <c r="M50" s="3">
        <f>IF(G50="","",G50*H50)</f>
        <v/>
      </c>
      <c r="N50" s="3">
        <f>IF(G50="","",Settings!$C$5)</f>
        <v/>
      </c>
      <c r="O50" s="3">
        <f>IF(G50="","",IF(F50="SELL",M50*IF(E50="Equity Intraday",Settings!$C$8,Settings!$C$7),0))</f>
        <v/>
      </c>
      <c r="P50" s="3">
        <f>IF(G50="","",M50*(Settings!$C$9+Settings!$C$10))</f>
        <v/>
      </c>
      <c r="Q50" s="3">
        <f>IF(G50="","",IF(F50="BUY",M50*Settings!$C$11,0))</f>
        <v/>
      </c>
      <c r="R50" s="3">
        <f>IF(G50="","",N50*Settings!$C$6)</f>
        <v/>
      </c>
      <c r="S50" s="3">
        <f>IF(G50="","",IF(AND(F50="SELL",E50="Equity Delivery"),Settings!$C$13,0))</f>
        <v/>
      </c>
      <c r="T50" s="3">
        <f>IF(G50="","",SUM(N50:S50))</f>
        <v/>
      </c>
      <c r="U50" s="3">
        <f>IF(G50="","",IF(F50="BUY",-(M50+T50),M50-T50))</f>
        <v/>
      </c>
      <c r="V50">
        <f>IF(G50="","",Settings!$C$4+SUM($U$2:U50))</f>
        <v/>
      </c>
    </row>
    <row r="51">
      <c r="A51">
        <f>IF(G51="","",ROW()-1)</f>
        <v/>
      </c>
      <c r="B51" s="8" t="n"/>
      <c r="G51" s="3" t="n"/>
      <c r="H51" s="3" t="n"/>
      <c r="I51" s="3" t="n"/>
      <c r="J51" s="3" t="n"/>
      <c r="K51" s="3" t="n"/>
      <c r="L51" s="3" t="n"/>
      <c r="M51" s="3">
        <f>IF(G51="","",G51*H51)</f>
        <v/>
      </c>
      <c r="N51" s="3">
        <f>IF(G51="","",Settings!$C$5)</f>
        <v/>
      </c>
      <c r="O51" s="3">
        <f>IF(G51="","",IF(F51="SELL",M51*IF(E51="Equity Intraday",Settings!$C$8,Settings!$C$7),0))</f>
        <v/>
      </c>
      <c r="P51" s="3">
        <f>IF(G51="","",M51*(Settings!$C$9+Settings!$C$10))</f>
        <v/>
      </c>
      <c r="Q51" s="3">
        <f>IF(G51="","",IF(F51="BUY",M51*Settings!$C$11,0))</f>
        <v/>
      </c>
      <c r="R51" s="3">
        <f>IF(G51="","",N51*Settings!$C$6)</f>
        <v/>
      </c>
      <c r="S51" s="3">
        <f>IF(G51="","",IF(AND(F51="SELL",E51="Equity Delivery"),Settings!$C$13,0))</f>
        <v/>
      </c>
      <c r="T51" s="3">
        <f>IF(G51="","",SUM(N51:S51))</f>
        <v/>
      </c>
      <c r="U51" s="3">
        <f>IF(G51="","",IF(F51="BUY",-(M51+T51),M51-T51))</f>
        <v/>
      </c>
      <c r="V51">
        <f>IF(G51="","",Settings!$C$4+SUM($U$2:U51))</f>
        <v/>
      </c>
    </row>
    <row r="52">
      <c r="A52">
        <f>IF(G52="","",ROW()-1)</f>
        <v/>
      </c>
      <c r="B52" s="8" t="n"/>
      <c r="G52" s="3" t="n"/>
      <c r="H52" s="3" t="n"/>
      <c r="I52" s="3" t="n"/>
      <c r="J52" s="3" t="n"/>
      <c r="K52" s="3" t="n"/>
      <c r="L52" s="3" t="n"/>
      <c r="M52" s="3">
        <f>IF(G52="","",G52*H52)</f>
        <v/>
      </c>
      <c r="N52" s="3">
        <f>IF(G52="","",Settings!$C$5)</f>
        <v/>
      </c>
      <c r="O52" s="3">
        <f>IF(G52="","",IF(F52="SELL",M52*IF(E52="Equity Intraday",Settings!$C$8,Settings!$C$7),0))</f>
        <v/>
      </c>
      <c r="P52" s="3">
        <f>IF(G52="","",M52*(Settings!$C$9+Settings!$C$10))</f>
        <v/>
      </c>
      <c r="Q52" s="3">
        <f>IF(G52="","",IF(F52="BUY",M52*Settings!$C$11,0))</f>
        <v/>
      </c>
      <c r="R52" s="3">
        <f>IF(G52="","",N52*Settings!$C$6)</f>
        <v/>
      </c>
      <c r="S52" s="3">
        <f>IF(G52="","",IF(AND(F52="SELL",E52="Equity Delivery"),Settings!$C$13,0))</f>
        <v/>
      </c>
      <c r="T52" s="3">
        <f>IF(G52="","",SUM(N52:S52))</f>
        <v/>
      </c>
      <c r="U52" s="3">
        <f>IF(G52="","",IF(F52="BUY",-(M52+T52),M52-T52))</f>
        <v/>
      </c>
      <c r="V52">
        <f>IF(G52="","",Settings!$C$4+SUM($U$2:U52))</f>
        <v/>
      </c>
    </row>
    <row r="53">
      <c r="A53">
        <f>IF(G53="","",ROW()-1)</f>
        <v/>
      </c>
      <c r="B53" s="8" t="n"/>
      <c r="G53" s="3" t="n"/>
      <c r="H53" s="3" t="n"/>
      <c r="I53" s="3" t="n"/>
      <c r="J53" s="3" t="n"/>
      <c r="K53" s="3" t="n"/>
      <c r="L53" s="3" t="n"/>
      <c r="M53" s="3">
        <f>IF(G53="","",G53*H53)</f>
        <v/>
      </c>
      <c r="N53" s="3">
        <f>IF(G53="","",Settings!$C$5)</f>
        <v/>
      </c>
      <c r="O53" s="3">
        <f>IF(G53="","",IF(F53="SELL",M53*IF(E53="Equity Intraday",Settings!$C$8,Settings!$C$7),0))</f>
        <v/>
      </c>
      <c r="P53" s="3">
        <f>IF(G53="","",M53*(Settings!$C$9+Settings!$C$10))</f>
        <v/>
      </c>
      <c r="Q53" s="3">
        <f>IF(G53="","",IF(F53="BUY",M53*Settings!$C$11,0))</f>
        <v/>
      </c>
      <c r="R53" s="3">
        <f>IF(G53="","",N53*Settings!$C$6)</f>
        <v/>
      </c>
      <c r="S53" s="3">
        <f>IF(G53="","",IF(AND(F53="SELL",E53="Equity Delivery"),Settings!$C$13,0))</f>
        <v/>
      </c>
      <c r="T53" s="3">
        <f>IF(G53="","",SUM(N53:S53))</f>
        <v/>
      </c>
      <c r="U53" s="3">
        <f>IF(G53="","",IF(F53="BUY",-(M53+T53),M53-T53))</f>
        <v/>
      </c>
      <c r="V53">
        <f>IF(G53="","",Settings!$C$4+SUM($U$2:U53))</f>
        <v/>
      </c>
    </row>
    <row r="54">
      <c r="A54">
        <f>IF(G54="","",ROW()-1)</f>
        <v/>
      </c>
      <c r="B54" s="8" t="n"/>
      <c r="G54" s="3" t="n"/>
      <c r="H54" s="3" t="n"/>
      <c r="I54" s="3" t="n"/>
      <c r="J54" s="3" t="n"/>
      <c r="K54" s="3" t="n"/>
      <c r="L54" s="3" t="n"/>
      <c r="M54" s="3">
        <f>IF(G54="","",G54*H54)</f>
        <v/>
      </c>
      <c r="N54" s="3">
        <f>IF(G54="","",Settings!$C$5)</f>
        <v/>
      </c>
      <c r="O54" s="3">
        <f>IF(G54="","",IF(F54="SELL",M54*IF(E54="Equity Intraday",Settings!$C$8,Settings!$C$7),0))</f>
        <v/>
      </c>
      <c r="P54" s="3">
        <f>IF(G54="","",M54*(Settings!$C$9+Settings!$C$10))</f>
        <v/>
      </c>
      <c r="Q54" s="3">
        <f>IF(G54="","",IF(F54="BUY",M54*Settings!$C$11,0))</f>
        <v/>
      </c>
      <c r="R54" s="3">
        <f>IF(G54="","",N54*Settings!$C$6)</f>
        <v/>
      </c>
      <c r="S54" s="3">
        <f>IF(G54="","",IF(AND(F54="SELL",E54="Equity Delivery"),Settings!$C$13,0))</f>
        <v/>
      </c>
      <c r="T54" s="3">
        <f>IF(G54="","",SUM(N54:S54))</f>
        <v/>
      </c>
      <c r="U54" s="3">
        <f>IF(G54="","",IF(F54="BUY",-(M54+T54),M54-T54))</f>
        <v/>
      </c>
      <c r="V54">
        <f>IF(G54="","",Settings!$C$4+SUM($U$2:U54))</f>
        <v/>
      </c>
    </row>
    <row r="55">
      <c r="A55">
        <f>IF(G55="","",ROW()-1)</f>
        <v/>
      </c>
      <c r="B55" s="8" t="n"/>
      <c r="G55" s="3" t="n"/>
      <c r="H55" s="3" t="n"/>
      <c r="I55" s="3" t="n"/>
      <c r="J55" s="3" t="n"/>
      <c r="K55" s="3" t="n"/>
      <c r="L55" s="3" t="n"/>
      <c r="M55" s="3">
        <f>IF(G55="","",G55*H55)</f>
        <v/>
      </c>
      <c r="N55" s="3">
        <f>IF(G55="","",Settings!$C$5)</f>
        <v/>
      </c>
      <c r="O55" s="3">
        <f>IF(G55="","",IF(F55="SELL",M55*IF(E55="Equity Intraday",Settings!$C$8,Settings!$C$7),0))</f>
        <v/>
      </c>
      <c r="P55" s="3">
        <f>IF(G55="","",M55*(Settings!$C$9+Settings!$C$10))</f>
        <v/>
      </c>
      <c r="Q55" s="3">
        <f>IF(G55="","",IF(F55="BUY",M55*Settings!$C$11,0))</f>
        <v/>
      </c>
      <c r="R55" s="3">
        <f>IF(G55="","",N55*Settings!$C$6)</f>
        <v/>
      </c>
      <c r="S55" s="3">
        <f>IF(G55="","",IF(AND(F55="SELL",E55="Equity Delivery"),Settings!$C$13,0))</f>
        <v/>
      </c>
      <c r="T55" s="3">
        <f>IF(G55="","",SUM(N55:S55))</f>
        <v/>
      </c>
      <c r="U55" s="3">
        <f>IF(G55="","",IF(F55="BUY",-(M55+T55),M55-T55))</f>
        <v/>
      </c>
      <c r="V55">
        <f>IF(G55="","",Settings!$C$4+SUM($U$2:U55))</f>
        <v/>
      </c>
    </row>
    <row r="56">
      <c r="A56">
        <f>IF(G56="","",ROW()-1)</f>
        <v/>
      </c>
      <c r="B56" s="8" t="n"/>
      <c r="G56" s="3" t="n"/>
      <c r="H56" s="3" t="n"/>
      <c r="I56" s="3" t="n"/>
      <c r="J56" s="3" t="n"/>
      <c r="K56" s="3" t="n"/>
      <c r="L56" s="3" t="n"/>
      <c r="M56" s="3">
        <f>IF(G56="","",G56*H56)</f>
        <v/>
      </c>
      <c r="N56" s="3">
        <f>IF(G56="","",Settings!$C$5)</f>
        <v/>
      </c>
      <c r="O56" s="3">
        <f>IF(G56="","",IF(F56="SELL",M56*IF(E56="Equity Intraday",Settings!$C$8,Settings!$C$7),0))</f>
        <v/>
      </c>
      <c r="P56" s="3">
        <f>IF(G56="","",M56*(Settings!$C$9+Settings!$C$10))</f>
        <v/>
      </c>
      <c r="Q56" s="3">
        <f>IF(G56="","",IF(F56="BUY",M56*Settings!$C$11,0))</f>
        <v/>
      </c>
      <c r="R56" s="3">
        <f>IF(G56="","",N56*Settings!$C$6)</f>
        <v/>
      </c>
      <c r="S56" s="3">
        <f>IF(G56="","",IF(AND(F56="SELL",E56="Equity Delivery"),Settings!$C$13,0))</f>
        <v/>
      </c>
      <c r="T56" s="3">
        <f>IF(G56="","",SUM(N56:S56))</f>
        <v/>
      </c>
      <c r="U56" s="3">
        <f>IF(G56="","",IF(F56="BUY",-(M56+T56),M56-T56))</f>
        <v/>
      </c>
      <c r="V56">
        <f>IF(G56="","",Settings!$C$4+SUM($U$2:U56))</f>
        <v/>
      </c>
    </row>
    <row r="57">
      <c r="A57">
        <f>IF(G57="","",ROW()-1)</f>
        <v/>
      </c>
      <c r="B57" s="8" t="n"/>
      <c r="G57" s="3" t="n"/>
      <c r="H57" s="3" t="n"/>
      <c r="I57" s="3" t="n"/>
      <c r="J57" s="3" t="n"/>
      <c r="K57" s="3" t="n"/>
      <c r="L57" s="3" t="n"/>
      <c r="M57" s="3">
        <f>IF(G57="","",G57*H57)</f>
        <v/>
      </c>
      <c r="N57" s="3">
        <f>IF(G57="","",Settings!$C$5)</f>
        <v/>
      </c>
      <c r="O57" s="3">
        <f>IF(G57="","",IF(F57="SELL",M57*IF(E57="Equity Intraday",Settings!$C$8,Settings!$C$7),0))</f>
        <v/>
      </c>
      <c r="P57" s="3">
        <f>IF(G57="","",M57*(Settings!$C$9+Settings!$C$10))</f>
        <v/>
      </c>
      <c r="Q57" s="3">
        <f>IF(G57="","",IF(F57="BUY",M57*Settings!$C$11,0))</f>
        <v/>
      </c>
      <c r="R57" s="3">
        <f>IF(G57="","",N57*Settings!$C$6)</f>
        <v/>
      </c>
      <c r="S57" s="3">
        <f>IF(G57="","",IF(AND(F57="SELL",E57="Equity Delivery"),Settings!$C$13,0))</f>
        <v/>
      </c>
      <c r="T57" s="3">
        <f>IF(G57="","",SUM(N57:S57))</f>
        <v/>
      </c>
      <c r="U57" s="3">
        <f>IF(G57="","",IF(F57="BUY",-(M57+T57),M57-T57))</f>
        <v/>
      </c>
      <c r="V57">
        <f>IF(G57="","",Settings!$C$4+SUM($U$2:U57))</f>
        <v/>
      </c>
    </row>
    <row r="58">
      <c r="A58">
        <f>IF(G58="","",ROW()-1)</f>
        <v/>
      </c>
      <c r="B58" s="8" t="n"/>
      <c r="G58" s="3" t="n"/>
      <c r="H58" s="3" t="n"/>
      <c r="I58" s="3" t="n"/>
      <c r="J58" s="3" t="n"/>
      <c r="K58" s="3" t="n"/>
      <c r="L58" s="3" t="n"/>
      <c r="M58" s="3">
        <f>IF(G58="","",G58*H58)</f>
        <v/>
      </c>
      <c r="N58" s="3">
        <f>IF(G58="","",Settings!$C$5)</f>
        <v/>
      </c>
      <c r="O58" s="3">
        <f>IF(G58="","",IF(F58="SELL",M58*IF(E58="Equity Intraday",Settings!$C$8,Settings!$C$7),0))</f>
        <v/>
      </c>
      <c r="P58" s="3">
        <f>IF(G58="","",M58*(Settings!$C$9+Settings!$C$10))</f>
        <v/>
      </c>
      <c r="Q58" s="3">
        <f>IF(G58="","",IF(F58="BUY",M58*Settings!$C$11,0))</f>
        <v/>
      </c>
      <c r="R58" s="3">
        <f>IF(G58="","",N58*Settings!$C$6)</f>
        <v/>
      </c>
      <c r="S58" s="3">
        <f>IF(G58="","",IF(AND(F58="SELL",E58="Equity Delivery"),Settings!$C$13,0))</f>
        <v/>
      </c>
      <c r="T58" s="3">
        <f>IF(G58="","",SUM(N58:S58))</f>
        <v/>
      </c>
      <c r="U58" s="3">
        <f>IF(G58="","",IF(F58="BUY",-(M58+T58),M58-T58))</f>
        <v/>
      </c>
      <c r="V58">
        <f>IF(G58="","",Settings!$C$4+SUM($U$2:U58))</f>
        <v/>
      </c>
    </row>
    <row r="59">
      <c r="A59">
        <f>IF(G59="","",ROW()-1)</f>
        <v/>
      </c>
      <c r="B59" s="8" t="n"/>
      <c r="G59" s="3" t="n"/>
      <c r="H59" s="3" t="n"/>
      <c r="I59" s="3" t="n"/>
      <c r="J59" s="3" t="n"/>
      <c r="K59" s="3" t="n"/>
      <c r="L59" s="3" t="n"/>
      <c r="M59" s="3">
        <f>IF(G59="","",G59*H59)</f>
        <v/>
      </c>
      <c r="N59" s="3">
        <f>IF(G59="","",Settings!$C$5)</f>
        <v/>
      </c>
      <c r="O59" s="3">
        <f>IF(G59="","",IF(F59="SELL",M59*IF(E59="Equity Intraday",Settings!$C$8,Settings!$C$7),0))</f>
        <v/>
      </c>
      <c r="P59" s="3">
        <f>IF(G59="","",M59*(Settings!$C$9+Settings!$C$10))</f>
        <v/>
      </c>
      <c r="Q59" s="3">
        <f>IF(G59="","",IF(F59="BUY",M59*Settings!$C$11,0))</f>
        <v/>
      </c>
      <c r="R59" s="3">
        <f>IF(G59="","",N59*Settings!$C$6)</f>
        <v/>
      </c>
      <c r="S59" s="3">
        <f>IF(G59="","",IF(AND(F59="SELL",E59="Equity Delivery"),Settings!$C$13,0))</f>
        <v/>
      </c>
      <c r="T59" s="3">
        <f>IF(G59="","",SUM(N59:S59))</f>
        <v/>
      </c>
      <c r="U59" s="3">
        <f>IF(G59="","",IF(F59="BUY",-(M59+T59),M59-T59))</f>
        <v/>
      </c>
      <c r="V59">
        <f>IF(G59="","",Settings!$C$4+SUM($U$2:U59))</f>
        <v/>
      </c>
    </row>
    <row r="60">
      <c r="A60">
        <f>IF(G60="","",ROW()-1)</f>
        <v/>
      </c>
      <c r="B60" s="8" t="n"/>
      <c r="G60" s="3" t="n"/>
      <c r="H60" s="3" t="n"/>
      <c r="I60" s="3" t="n"/>
      <c r="J60" s="3" t="n"/>
      <c r="K60" s="3" t="n"/>
      <c r="L60" s="3" t="n"/>
      <c r="M60" s="3">
        <f>IF(G60="","",G60*H60)</f>
        <v/>
      </c>
      <c r="N60" s="3">
        <f>IF(G60="","",Settings!$C$5)</f>
        <v/>
      </c>
      <c r="O60" s="3">
        <f>IF(G60="","",IF(F60="SELL",M60*IF(E60="Equity Intraday",Settings!$C$8,Settings!$C$7),0))</f>
        <v/>
      </c>
      <c r="P60" s="3">
        <f>IF(G60="","",M60*(Settings!$C$9+Settings!$C$10))</f>
        <v/>
      </c>
      <c r="Q60" s="3">
        <f>IF(G60="","",IF(F60="BUY",M60*Settings!$C$11,0))</f>
        <v/>
      </c>
      <c r="R60" s="3">
        <f>IF(G60="","",N60*Settings!$C$6)</f>
        <v/>
      </c>
      <c r="S60" s="3">
        <f>IF(G60="","",IF(AND(F60="SELL",E60="Equity Delivery"),Settings!$C$13,0))</f>
        <v/>
      </c>
      <c r="T60" s="3">
        <f>IF(G60="","",SUM(N60:S60))</f>
        <v/>
      </c>
      <c r="U60" s="3">
        <f>IF(G60="","",IF(F60="BUY",-(M60+T60),M60-T60))</f>
        <v/>
      </c>
      <c r="V60">
        <f>IF(G60="","",Settings!$C$4+SUM($U$2:U60))</f>
        <v/>
      </c>
    </row>
    <row r="61">
      <c r="A61">
        <f>IF(G61="","",ROW()-1)</f>
        <v/>
      </c>
      <c r="B61" s="8" t="n"/>
      <c r="G61" s="3" t="n"/>
      <c r="H61" s="3" t="n"/>
      <c r="I61" s="3" t="n"/>
      <c r="J61" s="3" t="n"/>
      <c r="K61" s="3" t="n"/>
      <c r="L61" s="3" t="n"/>
      <c r="M61" s="3">
        <f>IF(G61="","",G61*H61)</f>
        <v/>
      </c>
      <c r="N61" s="3">
        <f>IF(G61="","",Settings!$C$5)</f>
        <v/>
      </c>
      <c r="O61" s="3">
        <f>IF(G61="","",IF(F61="SELL",M61*IF(E61="Equity Intraday",Settings!$C$8,Settings!$C$7),0))</f>
        <v/>
      </c>
      <c r="P61" s="3">
        <f>IF(G61="","",M61*(Settings!$C$9+Settings!$C$10))</f>
        <v/>
      </c>
      <c r="Q61" s="3">
        <f>IF(G61="","",IF(F61="BUY",M61*Settings!$C$11,0))</f>
        <v/>
      </c>
      <c r="R61" s="3">
        <f>IF(G61="","",N61*Settings!$C$6)</f>
        <v/>
      </c>
      <c r="S61" s="3">
        <f>IF(G61="","",IF(AND(F61="SELL",E61="Equity Delivery"),Settings!$C$13,0))</f>
        <v/>
      </c>
      <c r="T61" s="3">
        <f>IF(G61="","",SUM(N61:S61))</f>
        <v/>
      </c>
      <c r="U61" s="3">
        <f>IF(G61="","",IF(F61="BUY",-(M61+T61),M61-T61))</f>
        <v/>
      </c>
      <c r="V61">
        <f>IF(G61="","",Settings!$C$4+SUM($U$2:U61))</f>
        <v/>
      </c>
    </row>
    <row r="62">
      <c r="A62">
        <f>IF(G62="","",ROW()-1)</f>
        <v/>
      </c>
      <c r="B62" s="8" t="n"/>
      <c r="G62" s="3" t="n"/>
      <c r="H62" s="3" t="n"/>
      <c r="I62" s="3" t="n"/>
      <c r="J62" s="3" t="n"/>
      <c r="K62" s="3" t="n"/>
      <c r="L62" s="3" t="n"/>
      <c r="M62" s="3">
        <f>IF(G62="","",G62*H62)</f>
        <v/>
      </c>
      <c r="N62" s="3">
        <f>IF(G62="","",Settings!$C$5)</f>
        <v/>
      </c>
      <c r="O62" s="3">
        <f>IF(G62="","",IF(F62="SELL",M62*IF(E62="Equity Intraday",Settings!$C$8,Settings!$C$7),0))</f>
        <v/>
      </c>
      <c r="P62" s="3">
        <f>IF(G62="","",M62*(Settings!$C$9+Settings!$C$10))</f>
        <v/>
      </c>
      <c r="Q62" s="3">
        <f>IF(G62="","",IF(F62="BUY",M62*Settings!$C$11,0))</f>
        <v/>
      </c>
      <c r="R62" s="3">
        <f>IF(G62="","",N62*Settings!$C$6)</f>
        <v/>
      </c>
      <c r="S62" s="3">
        <f>IF(G62="","",IF(AND(F62="SELL",E62="Equity Delivery"),Settings!$C$13,0))</f>
        <v/>
      </c>
      <c r="T62" s="3">
        <f>IF(G62="","",SUM(N62:S62))</f>
        <v/>
      </c>
      <c r="U62" s="3">
        <f>IF(G62="","",IF(F62="BUY",-(M62+T62),M62-T62))</f>
        <v/>
      </c>
      <c r="V62">
        <f>IF(G62="","",Settings!$C$4+SUM($U$2:U62))</f>
        <v/>
      </c>
    </row>
    <row r="63">
      <c r="A63">
        <f>IF(G63="","",ROW()-1)</f>
        <v/>
      </c>
      <c r="B63" s="8" t="n"/>
      <c r="G63" s="3" t="n"/>
      <c r="H63" s="3" t="n"/>
      <c r="I63" s="3" t="n"/>
      <c r="J63" s="3" t="n"/>
      <c r="K63" s="3" t="n"/>
      <c r="L63" s="3" t="n"/>
      <c r="M63" s="3">
        <f>IF(G63="","",G63*H63)</f>
        <v/>
      </c>
      <c r="N63" s="3">
        <f>IF(G63="","",Settings!$C$5)</f>
        <v/>
      </c>
      <c r="O63" s="3">
        <f>IF(G63="","",IF(F63="SELL",M63*IF(E63="Equity Intraday",Settings!$C$8,Settings!$C$7),0))</f>
        <v/>
      </c>
      <c r="P63" s="3">
        <f>IF(G63="","",M63*(Settings!$C$9+Settings!$C$10))</f>
        <v/>
      </c>
      <c r="Q63" s="3">
        <f>IF(G63="","",IF(F63="BUY",M63*Settings!$C$11,0))</f>
        <v/>
      </c>
      <c r="R63" s="3">
        <f>IF(G63="","",N63*Settings!$C$6)</f>
        <v/>
      </c>
      <c r="S63" s="3">
        <f>IF(G63="","",IF(AND(F63="SELL",E63="Equity Delivery"),Settings!$C$13,0))</f>
        <v/>
      </c>
      <c r="T63" s="3">
        <f>IF(G63="","",SUM(N63:S63))</f>
        <v/>
      </c>
      <c r="U63" s="3">
        <f>IF(G63="","",IF(F63="BUY",-(M63+T63),M63-T63))</f>
        <v/>
      </c>
      <c r="V63">
        <f>IF(G63="","",Settings!$C$4+SUM($U$2:U63))</f>
        <v/>
      </c>
    </row>
    <row r="64">
      <c r="A64">
        <f>IF(G64="","",ROW()-1)</f>
        <v/>
      </c>
      <c r="B64" s="8" t="n"/>
      <c r="G64" s="3" t="n"/>
      <c r="H64" s="3" t="n"/>
      <c r="I64" s="3" t="n"/>
      <c r="J64" s="3" t="n"/>
      <c r="K64" s="3" t="n"/>
      <c r="L64" s="3" t="n"/>
      <c r="M64" s="3">
        <f>IF(G64="","",G64*H64)</f>
        <v/>
      </c>
      <c r="N64" s="3">
        <f>IF(G64="","",Settings!$C$5)</f>
        <v/>
      </c>
      <c r="O64" s="3">
        <f>IF(G64="","",IF(F64="SELL",M64*IF(E64="Equity Intraday",Settings!$C$8,Settings!$C$7),0))</f>
        <v/>
      </c>
      <c r="P64" s="3">
        <f>IF(G64="","",M64*(Settings!$C$9+Settings!$C$10))</f>
        <v/>
      </c>
      <c r="Q64" s="3">
        <f>IF(G64="","",IF(F64="BUY",M64*Settings!$C$11,0))</f>
        <v/>
      </c>
      <c r="R64" s="3">
        <f>IF(G64="","",N64*Settings!$C$6)</f>
        <v/>
      </c>
      <c r="S64" s="3">
        <f>IF(G64="","",IF(AND(F64="SELL",E64="Equity Delivery"),Settings!$C$13,0))</f>
        <v/>
      </c>
      <c r="T64" s="3">
        <f>IF(G64="","",SUM(N64:S64))</f>
        <v/>
      </c>
      <c r="U64" s="3">
        <f>IF(G64="","",IF(F64="BUY",-(M64+T64),M64-T64))</f>
        <v/>
      </c>
      <c r="V64">
        <f>IF(G64="","",Settings!$C$4+SUM($U$2:U64))</f>
        <v/>
      </c>
    </row>
    <row r="65">
      <c r="A65">
        <f>IF(G65="","",ROW()-1)</f>
        <v/>
      </c>
      <c r="B65" s="8" t="n"/>
      <c r="G65" s="3" t="n"/>
      <c r="H65" s="3" t="n"/>
      <c r="I65" s="3" t="n"/>
      <c r="J65" s="3" t="n"/>
      <c r="K65" s="3" t="n"/>
      <c r="L65" s="3" t="n"/>
      <c r="M65" s="3">
        <f>IF(G65="","",G65*H65)</f>
        <v/>
      </c>
      <c r="N65" s="3">
        <f>IF(G65="","",Settings!$C$5)</f>
        <v/>
      </c>
      <c r="O65" s="3">
        <f>IF(G65="","",IF(F65="SELL",M65*IF(E65="Equity Intraday",Settings!$C$8,Settings!$C$7),0))</f>
        <v/>
      </c>
      <c r="P65" s="3">
        <f>IF(G65="","",M65*(Settings!$C$9+Settings!$C$10))</f>
        <v/>
      </c>
      <c r="Q65" s="3">
        <f>IF(G65="","",IF(F65="BUY",M65*Settings!$C$11,0))</f>
        <v/>
      </c>
      <c r="R65" s="3">
        <f>IF(G65="","",N65*Settings!$C$6)</f>
        <v/>
      </c>
      <c r="S65" s="3">
        <f>IF(G65="","",IF(AND(F65="SELL",E65="Equity Delivery"),Settings!$C$13,0))</f>
        <v/>
      </c>
      <c r="T65" s="3">
        <f>IF(G65="","",SUM(N65:S65))</f>
        <v/>
      </c>
      <c r="U65" s="3">
        <f>IF(G65="","",IF(F65="BUY",-(M65+T65),M65-T65))</f>
        <v/>
      </c>
      <c r="V65">
        <f>IF(G65="","",Settings!$C$4+SUM($U$2:U65))</f>
        <v/>
      </c>
    </row>
    <row r="66">
      <c r="A66">
        <f>IF(G66="","",ROW()-1)</f>
        <v/>
      </c>
      <c r="B66" s="8" t="n"/>
      <c r="G66" s="3" t="n"/>
      <c r="H66" s="3" t="n"/>
      <c r="I66" s="3" t="n"/>
      <c r="J66" s="3" t="n"/>
      <c r="K66" s="3" t="n"/>
      <c r="L66" s="3" t="n"/>
      <c r="M66" s="3">
        <f>IF(G66="","",G66*H66)</f>
        <v/>
      </c>
      <c r="N66" s="3">
        <f>IF(G66="","",Settings!$C$5)</f>
        <v/>
      </c>
      <c r="O66" s="3">
        <f>IF(G66="","",IF(F66="SELL",M66*IF(E66="Equity Intraday",Settings!$C$8,Settings!$C$7),0))</f>
        <v/>
      </c>
      <c r="P66" s="3">
        <f>IF(G66="","",M66*(Settings!$C$9+Settings!$C$10))</f>
        <v/>
      </c>
      <c r="Q66" s="3">
        <f>IF(G66="","",IF(F66="BUY",M66*Settings!$C$11,0))</f>
        <v/>
      </c>
      <c r="R66" s="3">
        <f>IF(G66="","",N66*Settings!$C$6)</f>
        <v/>
      </c>
      <c r="S66" s="3">
        <f>IF(G66="","",IF(AND(F66="SELL",E66="Equity Delivery"),Settings!$C$13,0))</f>
        <v/>
      </c>
      <c r="T66" s="3">
        <f>IF(G66="","",SUM(N66:S66))</f>
        <v/>
      </c>
      <c r="U66" s="3">
        <f>IF(G66="","",IF(F66="BUY",-(M66+T66),M66-T66))</f>
        <v/>
      </c>
      <c r="V66">
        <f>IF(G66="","",Settings!$C$4+SUM($U$2:U66))</f>
        <v/>
      </c>
    </row>
    <row r="67">
      <c r="A67">
        <f>IF(G67="","",ROW()-1)</f>
        <v/>
      </c>
      <c r="B67" s="8" t="n"/>
      <c r="G67" s="3" t="n"/>
      <c r="H67" s="3" t="n"/>
      <c r="I67" s="3" t="n"/>
      <c r="J67" s="3" t="n"/>
      <c r="K67" s="3" t="n"/>
      <c r="L67" s="3" t="n"/>
      <c r="M67" s="3">
        <f>IF(G67="","",G67*H67)</f>
        <v/>
      </c>
      <c r="N67" s="3">
        <f>IF(G67="","",Settings!$C$5)</f>
        <v/>
      </c>
      <c r="O67" s="3">
        <f>IF(G67="","",IF(F67="SELL",M67*IF(E67="Equity Intraday",Settings!$C$8,Settings!$C$7),0))</f>
        <v/>
      </c>
      <c r="P67" s="3">
        <f>IF(G67="","",M67*(Settings!$C$9+Settings!$C$10))</f>
        <v/>
      </c>
      <c r="Q67" s="3">
        <f>IF(G67="","",IF(F67="BUY",M67*Settings!$C$11,0))</f>
        <v/>
      </c>
      <c r="R67" s="3">
        <f>IF(G67="","",N67*Settings!$C$6)</f>
        <v/>
      </c>
      <c r="S67" s="3">
        <f>IF(G67="","",IF(AND(F67="SELL",E67="Equity Delivery"),Settings!$C$13,0))</f>
        <v/>
      </c>
      <c r="T67" s="3">
        <f>IF(G67="","",SUM(N67:S67))</f>
        <v/>
      </c>
      <c r="U67" s="3">
        <f>IF(G67="","",IF(F67="BUY",-(M67+T67),M67-T67))</f>
        <v/>
      </c>
      <c r="V67">
        <f>IF(G67="","",Settings!$C$4+SUM($U$2:U67))</f>
        <v/>
      </c>
    </row>
    <row r="68">
      <c r="A68">
        <f>IF(G68="","",ROW()-1)</f>
        <v/>
      </c>
      <c r="B68" s="8" t="n"/>
      <c r="G68" s="3" t="n"/>
      <c r="H68" s="3" t="n"/>
      <c r="I68" s="3" t="n"/>
      <c r="J68" s="3" t="n"/>
      <c r="K68" s="3" t="n"/>
      <c r="L68" s="3" t="n"/>
      <c r="M68" s="3">
        <f>IF(G68="","",G68*H68)</f>
        <v/>
      </c>
      <c r="N68" s="3">
        <f>IF(G68="","",Settings!$C$5)</f>
        <v/>
      </c>
      <c r="O68" s="3">
        <f>IF(G68="","",IF(F68="SELL",M68*IF(E68="Equity Intraday",Settings!$C$8,Settings!$C$7),0))</f>
        <v/>
      </c>
      <c r="P68" s="3">
        <f>IF(G68="","",M68*(Settings!$C$9+Settings!$C$10))</f>
        <v/>
      </c>
      <c r="Q68" s="3">
        <f>IF(G68="","",IF(F68="BUY",M68*Settings!$C$11,0))</f>
        <v/>
      </c>
      <c r="R68" s="3">
        <f>IF(G68="","",N68*Settings!$C$6)</f>
        <v/>
      </c>
      <c r="S68" s="3">
        <f>IF(G68="","",IF(AND(F68="SELL",E68="Equity Delivery"),Settings!$C$13,0))</f>
        <v/>
      </c>
      <c r="T68" s="3">
        <f>IF(G68="","",SUM(N68:S68))</f>
        <v/>
      </c>
      <c r="U68" s="3">
        <f>IF(G68="","",IF(F68="BUY",-(M68+T68),M68-T68))</f>
        <v/>
      </c>
      <c r="V68">
        <f>IF(G68="","",Settings!$C$4+SUM($U$2:U68))</f>
        <v/>
      </c>
    </row>
    <row r="69">
      <c r="A69">
        <f>IF(G69="","",ROW()-1)</f>
        <v/>
      </c>
      <c r="B69" s="8" t="n"/>
      <c r="G69" s="3" t="n"/>
      <c r="H69" s="3" t="n"/>
      <c r="I69" s="3" t="n"/>
      <c r="J69" s="3" t="n"/>
      <c r="K69" s="3" t="n"/>
      <c r="L69" s="3" t="n"/>
      <c r="M69" s="3">
        <f>IF(G69="","",G69*H69)</f>
        <v/>
      </c>
      <c r="N69" s="3">
        <f>IF(G69="","",Settings!$C$5)</f>
        <v/>
      </c>
      <c r="O69" s="3">
        <f>IF(G69="","",IF(F69="SELL",M69*IF(E69="Equity Intraday",Settings!$C$8,Settings!$C$7),0))</f>
        <v/>
      </c>
      <c r="P69" s="3">
        <f>IF(G69="","",M69*(Settings!$C$9+Settings!$C$10))</f>
        <v/>
      </c>
      <c r="Q69" s="3">
        <f>IF(G69="","",IF(F69="BUY",M69*Settings!$C$11,0))</f>
        <v/>
      </c>
      <c r="R69" s="3">
        <f>IF(G69="","",N69*Settings!$C$6)</f>
        <v/>
      </c>
      <c r="S69" s="3">
        <f>IF(G69="","",IF(AND(F69="SELL",E69="Equity Delivery"),Settings!$C$13,0))</f>
        <v/>
      </c>
      <c r="T69" s="3">
        <f>IF(G69="","",SUM(N69:S69))</f>
        <v/>
      </c>
      <c r="U69" s="3">
        <f>IF(G69="","",IF(F69="BUY",-(M69+T69),M69-T69))</f>
        <v/>
      </c>
      <c r="V69">
        <f>IF(G69="","",Settings!$C$4+SUM($U$2:U69))</f>
        <v/>
      </c>
    </row>
    <row r="70">
      <c r="A70">
        <f>IF(G70="","",ROW()-1)</f>
        <v/>
      </c>
      <c r="B70" s="8" t="n"/>
      <c r="G70" s="3" t="n"/>
      <c r="H70" s="3" t="n"/>
      <c r="I70" s="3" t="n"/>
      <c r="J70" s="3" t="n"/>
      <c r="K70" s="3" t="n"/>
      <c r="L70" s="3" t="n"/>
      <c r="M70" s="3">
        <f>IF(G70="","",G70*H70)</f>
        <v/>
      </c>
      <c r="N70" s="3">
        <f>IF(G70="","",Settings!$C$5)</f>
        <v/>
      </c>
      <c r="O70" s="3">
        <f>IF(G70="","",IF(F70="SELL",M70*IF(E70="Equity Intraday",Settings!$C$8,Settings!$C$7),0))</f>
        <v/>
      </c>
      <c r="P70" s="3">
        <f>IF(G70="","",M70*(Settings!$C$9+Settings!$C$10))</f>
        <v/>
      </c>
      <c r="Q70" s="3">
        <f>IF(G70="","",IF(F70="BUY",M70*Settings!$C$11,0))</f>
        <v/>
      </c>
      <c r="R70" s="3">
        <f>IF(G70="","",N70*Settings!$C$6)</f>
        <v/>
      </c>
      <c r="S70" s="3">
        <f>IF(G70="","",IF(AND(F70="SELL",E70="Equity Delivery"),Settings!$C$13,0))</f>
        <v/>
      </c>
      <c r="T70" s="3">
        <f>IF(G70="","",SUM(N70:S70))</f>
        <v/>
      </c>
      <c r="U70" s="3">
        <f>IF(G70="","",IF(F70="BUY",-(M70+T70),M70-T70))</f>
        <v/>
      </c>
      <c r="V70">
        <f>IF(G70="","",Settings!$C$4+SUM($U$2:U70))</f>
        <v/>
      </c>
    </row>
    <row r="71">
      <c r="A71">
        <f>IF(G71="","",ROW()-1)</f>
        <v/>
      </c>
      <c r="B71" s="8" t="n"/>
      <c r="G71" s="3" t="n"/>
      <c r="H71" s="3" t="n"/>
      <c r="I71" s="3" t="n"/>
      <c r="J71" s="3" t="n"/>
      <c r="K71" s="3" t="n"/>
      <c r="L71" s="3" t="n"/>
      <c r="M71" s="3">
        <f>IF(G71="","",G71*H71)</f>
        <v/>
      </c>
      <c r="N71" s="3">
        <f>IF(G71="","",Settings!$C$5)</f>
        <v/>
      </c>
      <c r="O71" s="3">
        <f>IF(G71="","",IF(F71="SELL",M71*IF(E71="Equity Intraday",Settings!$C$8,Settings!$C$7),0))</f>
        <v/>
      </c>
      <c r="P71" s="3">
        <f>IF(G71="","",M71*(Settings!$C$9+Settings!$C$10))</f>
        <v/>
      </c>
      <c r="Q71" s="3">
        <f>IF(G71="","",IF(F71="BUY",M71*Settings!$C$11,0))</f>
        <v/>
      </c>
      <c r="R71" s="3">
        <f>IF(G71="","",N71*Settings!$C$6)</f>
        <v/>
      </c>
      <c r="S71" s="3">
        <f>IF(G71="","",IF(AND(F71="SELL",E71="Equity Delivery"),Settings!$C$13,0))</f>
        <v/>
      </c>
      <c r="T71" s="3">
        <f>IF(G71="","",SUM(N71:S71))</f>
        <v/>
      </c>
      <c r="U71" s="3">
        <f>IF(G71="","",IF(F71="BUY",-(M71+T71),M71-T71))</f>
        <v/>
      </c>
      <c r="V71">
        <f>IF(G71="","",Settings!$C$4+SUM($U$2:U71))</f>
        <v/>
      </c>
    </row>
    <row r="72">
      <c r="A72">
        <f>IF(G72="","",ROW()-1)</f>
        <v/>
      </c>
      <c r="B72" s="8" t="n"/>
      <c r="G72" s="3" t="n"/>
      <c r="H72" s="3" t="n"/>
      <c r="I72" s="3" t="n"/>
      <c r="J72" s="3" t="n"/>
      <c r="K72" s="3" t="n"/>
      <c r="L72" s="3" t="n"/>
      <c r="M72" s="3">
        <f>IF(G72="","",G72*H72)</f>
        <v/>
      </c>
      <c r="N72" s="3">
        <f>IF(G72="","",Settings!$C$5)</f>
        <v/>
      </c>
      <c r="O72" s="3">
        <f>IF(G72="","",IF(F72="SELL",M72*IF(E72="Equity Intraday",Settings!$C$8,Settings!$C$7),0))</f>
        <v/>
      </c>
      <c r="P72" s="3">
        <f>IF(G72="","",M72*(Settings!$C$9+Settings!$C$10))</f>
        <v/>
      </c>
      <c r="Q72" s="3">
        <f>IF(G72="","",IF(F72="BUY",M72*Settings!$C$11,0))</f>
        <v/>
      </c>
      <c r="R72" s="3">
        <f>IF(G72="","",N72*Settings!$C$6)</f>
        <v/>
      </c>
      <c r="S72" s="3">
        <f>IF(G72="","",IF(AND(F72="SELL",E72="Equity Delivery"),Settings!$C$13,0))</f>
        <v/>
      </c>
      <c r="T72" s="3">
        <f>IF(G72="","",SUM(N72:S72))</f>
        <v/>
      </c>
      <c r="U72" s="3">
        <f>IF(G72="","",IF(F72="BUY",-(M72+T72),M72-T72))</f>
        <v/>
      </c>
      <c r="V72">
        <f>IF(G72="","",Settings!$C$4+SUM($U$2:U72))</f>
        <v/>
      </c>
    </row>
    <row r="73">
      <c r="A73">
        <f>IF(G73="","",ROW()-1)</f>
        <v/>
      </c>
      <c r="B73" s="8" t="n"/>
      <c r="G73" s="3" t="n"/>
      <c r="H73" s="3" t="n"/>
      <c r="I73" s="3" t="n"/>
      <c r="J73" s="3" t="n"/>
      <c r="K73" s="3" t="n"/>
      <c r="L73" s="3" t="n"/>
      <c r="M73" s="3">
        <f>IF(G73="","",G73*H73)</f>
        <v/>
      </c>
      <c r="N73" s="3">
        <f>IF(G73="","",Settings!$C$5)</f>
        <v/>
      </c>
      <c r="O73" s="3">
        <f>IF(G73="","",IF(F73="SELL",M73*IF(E73="Equity Intraday",Settings!$C$8,Settings!$C$7),0))</f>
        <v/>
      </c>
      <c r="P73" s="3">
        <f>IF(G73="","",M73*(Settings!$C$9+Settings!$C$10))</f>
        <v/>
      </c>
      <c r="Q73" s="3">
        <f>IF(G73="","",IF(F73="BUY",M73*Settings!$C$11,0))</f>
        <v/>
      </c>
      <c r="R73" s="3">
        <f>IF(G73="","",N73*Settings!$C$6)</f>
        <v/>
      </c>
      <c r="S73" s="3">
        <f>IF(G73="","",IF(AND(F73="SELL",E73="Equity Delivery"),Settings!$C$13,0))</f>
        <v/>
      </c>
      <c r="T73" s="3">
        <f>IF(G73="","",SUM(N73:S73))</f>
        <v/>
      </c>
      <c r="U73" s="3">
        <f>IF(G73="","",IF(F73="BUY",-(M73+T73),M73-T73))</f>
        <v/>
      </c>
      <c r="V73">
        <f>IF(G73="","",Settings!$C$4+SUM($U$2:U73))</f>
        <v/>
      </c>
    </row>
    <row r="74">
      <c r="A74">
        <f>IF(G74="","",ROW()-1)</f>
        <v/>
      </c>
      <c r="B74" s="8" t="n"/>
      <c r="G74" s="3" t="n"/>
      <c r="H74" s="3" t="n"/>
      <c r="I74" s="3" t="n"/>
      <c r="J74" s="3" t="n"/>
      <c r="K74" s="3" t="n"/>
      <c r="L74" s="3" t="n"/>
      <c r="M74" s="3">
        <f>IF(G74="","",G74*H74)</f>
        <v/>
      </c>
      <c r="N74" s="3">
        <f>IF(G74="","",Settings!$C$5)</f>
        <v/>
      </c>
      <c r="O74" s="3">
        <f>IF(G74="","",IF(F74="SELL",M74*IF(E74="Equity Intraday",Settings!$C$8,Settings!$C$7),0))</f>
        <v/>
      </c>
      <c r="P74" s="3">
        <f>IF(G74="","",M74*(Settings!$C$9+Settings!$C$10))</f>
        <v/>
      </c>
      <c r="Q74" s="3">
        <f>IF(G74="","",IF(F74="BUY",M74*Settings!$C$11,0))</f>
        <v/>
      </c>
      <c r="R74" s="3">
        <f>IF(G74="","",N74*Settings!$C$6)</f>
        <v/>
      </c>
      <c r="S74" s="3">
        <f>IF(G74="","",IF(AND(F74="SELL",E74="Equity Delivery"),Settings!$C$13,0))</f>
        <v/>
      </c>
      <c r="T74" s="3">
        <f>IF(G74="","",SUM(N74:S74))</f>
        <v/>
      </c>
      <c r="U74" s="3">
        <f>IF(G74="","",IF(F74="BUY",-(M74+T74),M74-T74))</f>
        <v/>
      </c>
      <c r="V74">
        <f>IF(G74="","",Settings!$C$4+SUM($U$2:U74))</f>
        <v/>
      </c>
    </row>
    <row r="75">
      <c r="A75">
        <f>IF(G75="","",ROW()-1)</f>
        <v/>
      </c>
      <c r="B75" s="8" t="n"/>
      <c r="G75" s="3" t="n"/>
      <c r="H75" s="3" t="n"/>
      <c r="I75" s="3" t="n"/>
      <c r="J75" s="3" t="n"/>
      <c r="K75" s="3" t="n"/>
      <c r="L75" s="3" t="n"/>
      <c r="M75" s="3">
        <f>IF(G75="","",G75*H75)</f>
        <v/>
      </c>
      <c r="N75" s="3">
        <f>IF(G75="","",Settings!$C$5)</f>
        <v/>
      </c>
      <c r="O75" s="3">
        <f>IF(G75="","",IF(F75="SELL",M75*IF(E75="Equity Intraday",Settings!$C$8,Settings!$C$7),0))</f>
        <v/>
      </c>
      <c r="P75" s="3">
        <f>IF(G75="","",M75*(Settings!$C$9+Settings!$C$10))</f>
        <v/>
      </c>
      <c r="Q75" s="3">
        <f>IF(G75="","",IF(F75="BUY",M75*Settings!$C$11,0))</f>
        <v/>
      </c>
      <c r="R75" s="3">
        <f>IF(G75="","",N75*Settings!$C$6)</f>
        <v/>
      </c>
      <c r="S75" s="3">
        <f>IF(G75="","",IF(AND(F75="SELL",E75="Equity Delivery"),Settings!$C$13,0))</f>
        <v/>
      </c>
      <c r="T75" s="3">
        <f>IF(G75="","",SUM(N75:S75))</f>
        <v/>
      </c>
      <c r="U75" s="3">
        <f>IF(G75="","",IF(F75="BUY",-(M75+T75),M75-T75))</f>
        <v/>
      </c>
      <c r="V75">
        <f>IF(G75="","",Settings!$C$4+SUM($U$2:U75))</f>
        <v/>
      </c>
    </row>
    <row r="76">
      <c r="A76">
        <f>IF(G76="","",ROW()-1)</f>
        <v/>
      </c>
      <c r="B76" s="8" t="n"/>
      <c r="G76" s="3" t="n"/>
      <c r="H76" s="3" t="n"/>
      <c r="I76" s="3" t="n"/>
      <c r="J76" s="3" t="n"/>
      <c r="K76" s="3" t="n"/>
      <c r="L76" s="3" t="n"/>
      <c r="M76" s="3">
        <f>IF(G76="","",G76*H76)</f>
        <v/>
      </c>
      <c r="N76" s="3">
        <f>IF(G76="","",Settings!$C$5)</f>
        <v/>
      </c>
      <c r="O76" s="3">
        <f>IF(G76="","",IF(F76="SELL",M76*IF(E76="Equity Intraday",Settings!$C$8,Settings!$C$7),0))</f>
        <v/>
      </c>
      <c r="P76" s="3">
        <f>IF(G76="","",M76*(Settings!$C$9+Settings!$C$10))</f>
        <v/>
      </c>
      <c r="Q76" s="3">
        <f>IF(G76="","",IF(F76="BUY",M76*Settings!$C$11,0))</f>
        <v/>
      </c>
      <c r="R76" s="3">
        <f>IF(G76="","",N76*Settings!$C$6)</f>
        <v/>
      </c>
      <c r="S76" s="3">
        <f>IF(G76="","",IF(AND(F76="SELL",E76="Equity Delivery"),Settings!$C$13,0))</f>
        <v/>
      </c>
      <c r="T76" s="3">
        <f>IF(G76="","",SUM(N76:S76))</f>
        <v/>
      </c>
      <c r="U76" s="3">
        <f>IF(G76="","",IF(F76="BUY",-(M76+T76),M76-T76))</f>
        <v/>
      </c>
      <c r="V76">
        <f>IF(G76="","",Settings!$C$4+SUM($U$2:U76))</f>
        <v/>
      </c>
    </row>
    <row r="77">
      <c r="A77">
        <f>IF(G77="","",ROW()-1)</f>
        <v/>
      </c>
      <c r="B77" s="8" t="n"/>
      <c r="G77" s="3" t="n"/>
      <c r="H77" s="3" t="n"/>
      <c r="I77" s="3" t="n"/>
      <c r="J77" s="3" t="n"/>
      <c r="K77" s="3" t="n"/>
      <c r="L77" s="3" t="n"/>
      <c r="M77" s="3">
        <f>IF(G77="","",G77*H77)</f>
        <v/>
      </c>
      <c r="N77" s="3">
        <f>IF(G77="","",Settings!$C$5)</f>
        <v/>
      </c>
      <c r="O77" s="3">
        <f>IF(G77="","",IF(F77="SELL",M77*IF(E77="Equity Intraday",Settings!$C$8,Settings!$C$7),0))</f>
        <v/>
      </c>
      <c r="P77" s="3">
        <f>IF(G77="","",M77*(Settings!$C$9+Settings!$C$10))</f>
        <v/>
      </c>
      <c r="Q77" s="3">
        <f>IF(G77="","",IF(F77="BUY",M77*Settings!$C$11,0))</f>
        <v/>
      </c>
      <c r="R77" s="3">
        <f>IF(G77="","",N77*Settings!$C$6)</f>
        <v/>
      </c>
      <c r="S77" s="3">
        <f>IF(G77="","",IF(AND(F77="SELL",E77="Equity Delivery"),Settings!$C$13,0))</f>
        <v/>
      </c>
      <c r="T77" s="3">
        <f>IF(G77="","",SUM(N77:S77))</f>
        <v/>
      </c>
      <c r="U77" s="3">
        <f>IF(G77="","",IF(F77="BUY",-(M77+T77),M77-T77))</f>
        <v/>
      </c>
      <c r="V77">
        <f>IF(G77="","",Settings!$C$4+SUM($U$2:U77))</f>
        <v/>
      </c>
    </row>
    <row r="78">
      <c r="A78">
        <f>IF(G78="","",ROW()-1)</f>
        <v/>
      </c>
      <c r="B78" s="8" t="n"/>
      <c r="G78" s="3" t="n"/>
      <c r="H78" s="3" t="n"/>
      <c r="I78" s="3" t="n"/>
      <c r="J78" s="3" t="n"/>
      <c r="K78" s="3" t="n"/>
      <c r="L78" s="3" t="n"/>
      <c r="M78" s="3">
        <f>IF(G78="","",G78*H78)</f>
        <v/>
      </c>
      <c r="N78" s="3">
        <f>IF(G78="","",Settings!$C$5)</f>
        <v/>
      </c>
      <c r="O78" s="3">
        <f>IF(G78="","",IF(F78="SELL",M78*IF(E78="Equity Intraday",Settings!$C$8,Settings!$C$7),0))</f>
        <v/>
      </c>
      <c r="P78" s="3">
        <f>IF(G78="","",M78*(Settings!$C$9+Settings!$C$10))</f>
        <v/>
      </c>
      <c r="Q78" s="3">
        <f>IF(G78="","",IF(F78="BUY",M78*Settings!$C$11,0))</f>
        <v/>
      </c>
      <c r="R78" s="3">
        <f>IF(G78="","",N78*Settings!$C$6)</f>
        <v/>
      </c>
      <c r="S78" s="3">
        <f>IF(G78="","",IF(AND(F78="SELL",E78="Equity Delivery"),Settings!$C$13,0))</f>
        <v/>
      </c>
      <c r="T78" s="3">
        <f>IF(G78="","",SUM(N78:S78))</f>
        <v/>
      </c>
      <c r="U78" s="3">
        <f>IF(G78="","",IF(F78="BUY",-(M78+T78),M78-T78))</f>
        <v/>
      </c>
      <c r="V78">
        <f>IF(G78="","",Settings!$C$4+SUM($U$2:U78))</f>
        <v/>
      </c>
    </row>
    <row r="79">
      <c r="A79">
        <f>IF(G79="","",ROW()-1)</f>
        <v/>
      </c>
      <c r="B79" s="8" t="n"/>
      <c r="G79" s="3" t="n"/>
      <c r="H79" s="3" t="n"/>
      <c r="I79" s="3" t="n"/>
      <c r="J79" s="3" t="n"/>
      <c r="K79" s="3" t="n"/>
      <c r="L79" s="3" t="n"/>
      <c r="M79" s="3">
        <f>IF(G79="","",G79*H79)</f>
        <v/>
      </c>
      <c r="N79" s="3">
        <f>IF(G79="","",Settings!$C$5)</f>
        <v/>
      </c>
      <c r="O79" s="3">
        <f>IF(G79="","",IF(F79="SELL",M79*IF(E79="Equity Intraday",Settings!$C$8,Settings!$C$7),0))</f>
        <v/>
      </c>
      <c r="P79" s="3">
        <f>IF(G79="","",M79*(Settings!$C$9+Settings!$C$10))</f>
        <v/>
      </c>
      <c r="Q79" s="3">
        <f>IF(G79="","",IF(F79="BUY",M79*Settings!$C$11,0))</f>
        <v/>
      </c>
      <c r="R79" s="3">
        <f>IF(G79="","",N79*Settings!$C$6)</f>
        <v/>
      </c>
      <c r="S79" s="3">
        <f>IF(G79="","",IF(AND(F79="SELL",E79="Equity Delivery"),Settings!$C$13,0))</f>
        <v/>
      </c>
      <c r="T79" s="3">
        <f>IF(G79="","",SUM(N79:S79))</f>
        <v/>
      </c>
      <c r="U79" s="3">
        <f>IF(G79="","",IF(F79="BUY",-(M79+T79),M79-T79))</f>
        <v/>
      </c>
      <c r="V79">
        <f>IF(G79="","",Settings!$C$4+SUM($U$2:U79))</f>
        <v/>
      </c>
    </row>
    <row r="80">
      <c r="A80">
        <f>IF(G80="","",ROW()-1)</f>
        <v/>
      </c>
      <c r="B80" s="8" t="n"/>
      <c r="G80" s="3" t="n"/>
      <c r="H80" s="3" t="n"/>
      <c r="I80" s="3" t="n"/>
      <c r="J80" s="3" t="n"/>
      <c r="K80" s="3" t="n"/>
      <c r="L80" s="3" t="n"/>
      <c r="M80" s="3">
        <f>IF(G80="","",G80*H80)</f>
        <v/>
      </c>
      <c r="N80" s="3">
        <f>IF(G80="","",Settings!$C$5)</f>
        <v/>
      </c>
      <c r="O80" s="3">
        <f>IF(G80="","",IF(F80="SELL",M80*IF(E80="Equity Intraday",Settings!$C$8,Settings!$C$7),0))</f>
        <v/>
      </c>
      <c r="P80" s="3">
        <f>IF(G80="","",M80*(Settings!$C$9+Settings!$C$10))</f>
        <v/>
      </c>
      <c r="Q80" s="3">
        <f>IF(G80="","",IF(F80="BUY",M80*Settings!$C$11,0))</f>
        <v/>
      </c>
      <c r="R80" s="3">
        <f>IF(G80="","",N80*Settings!$C$6)</f>
        <v/>
      </c>
      <c r="S80" s="3">
        <f>IF(G80="","",IF(AND(F80="SELL",E80="Equity Delivery"),Settings!$C$13,0))</f>
        <v/>
      </c>
      <c r="T80" s="3">
        <f>IF(G80="","",SUM(N80:S80))</f>
        <v/>
      </c>
      <c r="U80" s="3">
        <f>IF(G80="","",IF(F80="BUY",-(M80+T80),M80-T80))</f>
        <v/>
      </c>
      <c r="V80">
        <f>IF(G80="","",Settings!$C$4+SUM($U$2:U80))</f>
        <v/>
      </c>
    </row>
    <row r="81">
      <c r="A81">
        <f>IF(G81="","",ROW()-1)</f>
        <v/>
      </c>
      <c r="B81" s="8" t="n"/>
      <c r="G81" s="3" t="n"/>
      <c r="H81" s="3" t="n"/>
      <c r="I81" s="3" t="n"/>
      <c r="J81" s="3" t="n"/>
      <c r="K81" s="3" t="n"/>
      <c r="L81" s="3" t="n"/>
      <c r="M81" s="3">
        <f>IF(G81="","",G81*H81)</f>
        <v/>
      </c>
      <c r="N81" s="3">
        <f>IF(G81="","",Settings!$C$5)</f>
        <v/>
      </c>
      <c r="O81" s="3">
        <f>IF(G81="","",IF(F81="SELL",M81*IF(E81="Equity Intraday",Settings!$C$8,Settings!$C$7),0))</f>
        <v/>
      </c>
      <c r="P81" s="3">
        <f>IF(G81="","",M81*(Settings!$C$9+Settings!$C$10))</f>
        <v/>
      </c>
      <c r="Q81" s="3">
        <f>IF(G81="","",IF(F81="BUY",M81*Settings!$C$11,0))</f>
        <v/>
      </c>
      <c r="R81" s="3">
        <f>IF(G81="","",N81*Settings!$C$6)</f>
        <v/>
      </c>
      <c r="S81" s="3">
        <f>IF(G81="","",IF(AND(F81="SELL",E81="Equity Delivery"),Settings!$C$13,0))</f>
        <v/>
      </c>
      <c r="T81" s="3">
        <f>IF(G81="","",SUM(N81:S81))</f>
        <v/>
      </c>
      <c r="U81" s="3">
        <f>IF(G81="","",IF(F81="BUY",-(M81+T81),M81-T81))</f>
        <v/>
      </c>
      <c r="V81">
        <f>IF(G81="","",Settings!$C$4+SUM($U$2:U81))</f>
        <v/>
      </c>
    </row>
    <row r="82">
      <c r="A82">
        <f>IF(G82="","",ROW()-1)</f>
        <v/>
      </c>
      <c r="B82" s="8" t="n"/>
      <c r="G82" s="3" t="n"/>
      <c r="H82" s="3" t="n"/>
      <c r="I82" s="3" t="n"/>
      <c r="J82" s="3" t="n"/>
      <c r="K82" s="3" t="n"/>
      <c r="L82" s="3" t="n"/>
      <c r="M82" s="3">
        <f>IF(G82="","",G82*H82)</f>
        <v/>
      </c>
      <c r="N82" s="3">
        <f>IF(G82="","",Settings!$C$5)</f>
        <v/>
      </c>
      <c r="O82" s="3">
        <f>IF(G82="","",IF(F82="SELL",M82*IF(E82="Equity Intraday",Settings!$C$8,Settings!$C$7),0))</f>
        <v/>
      </c>
      <c r="P82" s="3">
        <f>IF(G82="","",M82*(Settings!$C$9+Settings!$C$10))</f>
        <v/>
      </c>
      <c r="Q82" s="3">
        <f>IF(G82="","",IF(F82="BUY",M82*Settings!$C$11,0))</f>
        <v/>
      </c>
      <c r="R82" s="3">
        <f>IF(G82="","",N82*Settings!$C$6)</f>
        <v/>
      </c>
      <c r="S82" s="3">
        <f>IF(G82="","",IF(AND(F82="SELL",E82="Equity Delivery"),Settings!$C$13,0))</f>
        <v/>
      </c>
      <c r="T82" s="3">
        <f>IF(G82="","",SUM(N82:S82))</f>
        <v/>
      </c>
      <c r="U82" s="3">
        <f>IF(G82="","",IF(F82="BUY",-(M82+T82),M82-T82))</f>
        <v/>
      </c>
      <c r="V82">
        <f>IF(G82="","",Settings!$C$4+SUM($U$2:U82))</f>
        <v/>
      </c>
    </row>
    <row r="83">
      <c r="A83">
        <f>IF(G83="","",ROW()-1)</f>
        <v/>
      </c>
      <c r="B83" s="8" t="n"/>
      <c r="G83" s="3" t="n"/>
      <c r="H83" s="3" t="n"/>
      <c r="I83" s="3" t="n"/>
      <c r="J83" s="3" t="n"/>
      <c r="K83" s="3" t="n"/>
      <c r="L83" s="3" t="n"/>
      <c r="M83" s="3">
        <f>IF(G83="","",G83*H83)</f>
        <v/>
      </c>
      <c r="N83" s="3">
        <f>IF(G83="","",Settings!$C$5)</f>
        <v/>
      </c>
      <c r="O83" s="3">
        <f>IF(G83="","",IF(F83="SELL",M83*IF(E83="Equity Intraday",Settings!$C$8,Settings!$C$7),0))</f>
        <v/>
      </c>
      <c r="P83" s="3">
        <f>IF(G83="","",M83*(Settings!$C$9+Settings!$C$10))</f>
        <v/>
      </c>
      <c r="Q83" s="3">
        <f>IF(G83="","",IF(F83="BUY",M83*Settings!$C$11,0))</f>
        <v/>
      </c>
      <c r="R83" s="3">
        <f>IF(G83="","",N83*Settings!$C$6)</f>
        <v/>
      </c>
      <c r="S83" s="3">
        <f>IF(G83="","",IF(AND(F83="SELL",E83="Equity Delivery"),Settings!$C$13,0))</f>
        <v/>
      </c>
      <c r="T83" s="3">
        <f>IF(G83="","",SUM(N83:S83))</f>
        <v/>
      </c>
      <c r="U83" s="3">
        <f>IF(G83="","",IF(F83="BUY",-(M83+T83),M83-T83))</f>
        <v/>
      </c>
      <c r="V83">
        <f>IF(G83="","",Settings!$C$4+SUM($U$2:U83))</f>
        <v/>
      </c>
    </row>
    <row r="84">
      <c r="A84">
        <f>IF(G84="","",ROW()-1)</f>
        <v/>
      </c>
      <c r="B84" s="8" t="n"/>
      <c r="G84" s="3" t="n"/>
      <c r="H84" s="3" t="n"/>
      <c r="I84" s="3" t="n"/>
      <c r="J84" s="3" t="n"/>
      <c r="K84" s="3" t="n"/>
      <c r="L84" s="3" t="n"/>
      <c r="M84" s="3">
        <f>IF(G84="","",G84*H84)</f>
        <v/>
      </c>
      <c r="N84" s="3">
        <f>IF(G84="","",Settings!$C$5)</f>
        <v/>
      </c>
      <c r="O84" s="3">
        <f>IF(G84="","",IF(F84="SELL",M84*IF(E84="Equity Intraday",Settings!$C$8,Settings!$C$7),0))</f>
        <v/>
      </c>
      <c r="P84" s="3">
        <f>IF(G84="","",M84*(Settings!$C$9+Settings!$C$10))</f>
        <v/>
      </c>
      <c r="Q84" s="3">
        <f>IF(G84="","",IF(F84="BUY",M84*Settings!$C$11,0))</f>
        <v/>
      </c>
      <c r="R84" s="3">
        <f>IF(G84="","",N84*Settings!$C$6)</f>
        <v/>
      </c>
      <c r="S84" s="3">
        <f>IF(G84="","",IF(AND(F84="SELL",E84="Equity Delivery"),Settings!$C$13,0))</f>
        <v/>
      </c>
      <c r="T84" s="3">
        <f>IF(G84="","",SUM(N84:S84))</f>
        <v/>
      </c>
      <c r="U84" s="3">
        <f>IF(G84="","",IF(F84="BUY",-(M84+T84),M84-T84))</f>
        <v/>
      </c>
      <c r="V84">
        <f>IF(G84="","",Settings!$C$4+SUM($U$2:U84))</f>
        <v/>
      </c>
    </row>
    <row r="85">
      <c r="A85">
        <f>IF(G85="","",ROW()-1)</f>
        <v/>
      </c>
      <c r="B85" s="8" t="n"/>
      <c r="G85" s="3" t="n"/>
      <c r="H85" s="3" t="n"/>
      <c r="I85" s="3" t="n"/>
      <c r="J85" s="3" t="n"/>
      <c r="K85" s="3" t="n"/>
      <c r="L85" s="3" t="n"/>
      <c r="M85" s="3">
        <f>IF(G85="","",G85*H85)</f>
        <v/>
      </c>
      <c r="N85" s="3">
        <f>IF(G85="","",Settings!$C$5)</f>
        <v/>
      </c>
      <c r="O85" s="3">
        <f>IF(G85="","",IF(F85="SELL",M85*IF(E85="Equity Intraday",Settings!$C$8,Settings!$C$7),0))</f>
        <v/>
      </c>
      <c r="P85" s="3">
        <f>IF(G85="","",M85*(Settings!$C$9+Settings!$C$10))</f>
        <v/>
      </c>
      <c r="Q85" s="3">
        <f>IF(G85="","",IF(F85="BUY",M85*Settings!$C$11,0))</f>
        <v/>
      </c>
      <c r="R85" s="3">
        <f>IF(G85="","",N85*Settings!$C$6)</f>
        <v/>
      </c>
      <c r="S85" s="3">
        <f>IF(G85="","",IF(AND(F85="SELL",E85="Equity Delivery"),Settings!$C$13,0))</f>
        <v/>
      </c>
      <c r="T85" s="3">
        <f>IF(G85="","",SUM(N85:S85))</f>
        <v/>
      </c>
      <c r="U85" s="3">
        <f>IF(G85="","",IF(F85="BUY",-(M85+T85),M85-T85))</f>
        <v/>
      </c>
      <c r="V85">
        <f>IF(G85="","",Settings!$C$4+SUM($U$2:U85))</f>
        <v/>
      </c>
    </row>
    <row r="86">
      <c r="A86">
        <f>IF(G86="","",ROW()-1)</f>
        <v/>
      </c>
      <c r="B86" s="8" t="n"/>
      <c r="G86" s="3" t="n"/>
      <c r="H86" s="3" t="n"/>
      <c r="I86" s="3" t="n"/>
      <c r="J86" s="3" t="n"/>
      <c r="K86" s="3" t="n"/>
      <c r="L86" s="3" t="n"/>
      <c r="M86" s="3">
        <f>IF(G86="","",G86*H86)</f>
        <v/>
      </c>
      <c r="N86" s="3">
        <f>IF(G86="","",Settings!$C$5)</f>
        <v/>
      </c>
      <c r="O86" s="3">
        <f>IF(G86="","",IF(F86="SELL",M86*IF(E86="Equity Intraday",Settings!$C$8,Settings!$C$7),0))</f>
        <v/>
      </c>
      <c r="P86" s="3">
        <f>IF(G86="","",M86*(Settings!$C$9+Settings!$C$10))</f>
        <v/>
      </c>
      <c r="Q86" s="3">
        <f>IF(G86="","",IF(F86="BUY",M86*Settings!$C$11,0))</f>
        <v/>
      </c>
      <c r="R86" s="3">
        <f>IF(G86="","",N86*Settings!$C$6)</f>
        <v/>
      </c>
      <c r="S86" s="3">
        <f>IF(G86="","",IF(AND(F86="SELL",E86="Equity Delivery"),Settings!$C$13,0))</f>
        <v/>
      </c>
      <c r="T86" s="3">
        <f>IF(G86="","",SUM(N86:S86))</f>
        <v/>
      </c>
      <c r="U86" s="3">
        <f>IF(G86="","",IF(F86="BUY",-(M86+T86),M86-T86))</f>
        <v/>
      </c>
      <c r="V86">
        <f>IF(G86="","",Settings!$C$4+SUM($U$2:U86))</f>
        <v/>
      </c>
    </row>
    <row r="87">
      <c r="A87">
        <f>IF(G87="","",ROW()-1)</f>
        <v/>
      </c>
      <c r="B87" s="8" t="n"/>
      <c r="G87" s="3" t="n"/>
      <c r="H87" s="3" t="n"/>
      <c r="I87" s="3" t="n"/>
      <c r="J87" s="3" t="n"/>
      <c r="K87" s="3" t="n"/>
      <c r="L87" s="3" t="n"/>
      <c r="M87" s="3">
        <f>IF(G87="","",G87*H87)</f>
        <v/>
      </c>
      <c r="N87" s="3">
        <f>IF(G87="","",Settings!$C$5)</f>
        <v/>
      </c>
      <c r="O87" s="3">
        <f>IF(G87="","",IF(F87="SELL",M87*IF(E87="Equity Intraday",Settings!$C$8,Settings!$C$7),0))</f>
        <v/>
      </c>
      <c r="P87" s="3">
        <f>IF(G87="","",M87*(Settings!$C$9+Settings!$C$10))</f>
        <v/>
      </c>
      <c r="Q87" s="3">
        <f>IF(G87="","",IF(F87="BUY",M87*Settings!$C$11,0))</f>
        <v/>
      </c>
      <c r="R87" s="3">
        <f>IF(G87="","",N87*Settings!$C$6)</f>
        <v/>
      </c>
      <c r="S87" s="3">
        <f>IF(G87="","",IF(AND(F87="SELL",E87="Equity Delivery"),Settings!$C$13,0))</f>
        <v/>
      </c>
      <c r="T87" s="3">
        <f>IF(G87="","",SUM(N87:S87))</f>
        <v/>
      </c>
      <c r="U87" s="3">
        <f>IF(G87="","",IF(F87="BUY",-(M87+T87),M87-T87))</f>
        <v/>
      </c>
      <c r="V87">
        <f>IF(G87="","",Settings!$C$4+SUM($U$2:U87))</f>
        <v/>
      </c>
    </row>
    <row r="88">
      <c r="A88">
        <f>IF(G88="","",ROW()-1)</f>
        <v/>
      </c>
      <c r="B88" s="8" t="n"/>
      <c r="G88" s="3" t="n"/>
      <c r="H88" s="3" t="n"/>
      <c r="I88" s="3" t="n"/>
      <c r="J88" s="3" t="n"/>
      <c r="K88" s="3" t="n"/>
      <c r="L88" s="3" t="n"/>
      <c r="M88" s="3">
        <f>IF(G88="","",G88*H88)</f>
        <v/>
      </c>
      <c r="N88" s="3">
        <f>IF(G88="","",Settings!$C$5)</f>
        <v/>
      </c>
      <c r="O88" s="3">
        <f>IF(G88="","",IF(F88="SELL",M88*IF(E88="Equity Intraday",Settings!$C$8,Settings!$C$7),0))</f>
        <v/>
      </c>
      <c r="P88" s="3">
        <f>IF(G88="","",M88*(Settings!$C$9+Settings!$C$10))</f>
        <v/>
      </c>
      <c r="Q88" s="3">
        <f>IF(G88="","",IF(F88="BUY",M88*Settings!$C$11,0))</f>
        <v/>
      </c>
      <c r="R88" s="3">
        <f>IF(G88="","",N88*Settings!$C$6)</f>
        <v/>
      </c>
      <c r="S88" s="3">
        <f>IF(G88="","",IF(AND(F88="SELL",E88="Equity Delivery"),Settings!$C$13,0))</f>
        <v/>
      </c>
      <c r="T88" s="3">
        <f>IF(G88="","",SUM(N88:S88))</f>
        <v/>
      </c>
      <c r="U88" s="3">
        <f>IF(G88="","",IF(F88="BUY",-(M88+T88),M88-T88))</f>
        <v/>
      </c>
      <c r="V88">
        <f>IF(G88="","",Settings!$C$4+SUM($U$2:U88))</f>
        <v/>
      </c>
    </row>
    <row r="89">
      <c r="A89">
        <f>IF(G89="","",ROW()-1)</f>
        <v/>
      </c>
      <c r="B89" s="8" t="n"/>
      <c r="G89" s="3" t="n"/>
      <c r="H89" s="3" t="n"/>
      <c r="I89" s="3" t="n"/>
      <c r="J89" s="3" t="n"/>
      <c r="K89" s="3" t="n"/>
      <c r="L89" s="3" t="n"/>
      <c r="M89" s="3">
        <f>IF(G89="","",G89*H89)</f>
        <v/>
      </c>
      <c r="N89" s="3">
        <f>IF(G89="","",Settings!$C$5)</f>
        <v/>
      </c>
      <c r="O89" s="3">
        <f>IF(G89="","",IF(F89="SELL",M89*IF(E89="Equity Intraday",Settings!$C$8,Settings!$C$7),0))</f>
        <v/>
      </c>
      <c r="P89" s="3">
        <f>IF(G89="","",M89*(Settings!$C$9+Settings!$C$10))</f>
        <v/>
      </c>
      <c r="Q89" s="3">
        <f>IF(G89="","",IF(F89="BUY",M89*Settings!$C$11,0))</f>
        <v/>
      </c>
      <c r="R89" s="3">
        <f>IF(G89="","",N89*Settings!$C$6)</f>
        <v/>
      </c>
      <c r="S89" s="3">
        <f>IF(G89="","",IF(AND(F89="SELL",E89="Equity Delivery"),Settings!$C$13,0))</f>
        <v/>
      </c>
      <c r="T89" s="3">
        <f>IF(G89="","",SUM(N89:S89))</f>
        <v/>
      </c>
      <c r="U89" s="3">
        <f>IF(G89="","",IF(F89="BUY",-(M89+T89),M89-T89))</f>
        <v/>
      </c>
      <c r="V89">
        <f>IF(G89="","",Settings!$C$4+SUM($U$2:U89))</f>
        <v/>
      </c>
    </row>
    <row r="90">
      <c r="A90">
        <f>IF(G90="","",ROW()-1)</f>
        <v/>
      </c>
      <c r="B90" s="8" t="n"/>
      <c r="G90" s="3" t="n"/>
      <c r="H90" s="3" t="n"/>
      <c r="I90" s="3" t="n"/>
      <c r="J90" s="3" t="n"/>
      <c r="K90" s="3" t="n"/>
      <c r="L90" s="3" t="n"/>
      <c r="M90" s="3">
        <f>IF(G90="","",G90*H90)</f>
        <v/>
      </c>
      <c r="N90" s="3">
        <f>IF(G90="","",Settings!$C$5)</f>
        <v/>
      </c>
      <c r="O90" s="3">
        <f>IF(G90="","",IF(F90="SELL",M90*IF(E90="Equity Intraday",Settings!$C$8,Settings!$C$7),0))</f>
        <v/>
      </c>
      <c r="P90" s="3">
        <f>IF(G90="","",M90*(Settings!$C$9+Settings!$C$10))</f>
        <v/>
      </c>
      <c r="Q90" s="3">
        <f>IF(G90="","",IF(F90="BUY",M90*Settings!$C$11,0))</f>
        <v/>
      </c>
      <c r="R90" s="3">
        <f>IF(G90="","",N90*Settings!$C$6)</f>
        <v/>
      </c>
      <c r="S90" s="3">
        <f>IF(G90="","",IF(AND(F90="SELL",E90="Equity Delivery"),Settings!$C$13,0))</f>
        <v/>
      </c>
      <c r="T90" s="3">
        <f>IF(G90="","",SUM(N90:S90))</f>
        <v/>
      </c>
      <c r="U90" s="3">
        <f>IF(G90="","",IF(F90="BUY",-(M90+T90),M90-T90))</f>
        <v/>
      </c>
      <c r="V90">
        <f>IF(G90="","",Settings!$C$4+SUM($U$2:U90))</f>
        <v/>
      </c>
    </row>
    <row r="91">
      <c r="A91">
        <f>IF(G91="","",ROW()-1)</f>
        <v/>
      </c>
      <c r="B91" s="8" t="n"/>
      <c r="G91" s="3" t="n"/>
      <c r="H91" s="3" t="n"/>
      <c r="I91" s="3" t="n"/>
      <c r="J91" s="3" t="n"/>
      <c r="K91" s="3" t="n"/>
      <c r="L91" s="3" t="n"/>
      <c r="M91" s="3">
        <f>IF(G91="","",G91*H91)</f>
        <v/>
      </c>
      <c r="N91" s="3">
        <f>IF(G91="","",Settings!$C$5)</f>
        <v/>
      </c>
      <c r="O91" s="3">
        <f>IF(G91="","",IF(F91="SELL",M91*IF(E91="Equity Intraday",Settings!$C$8,Settings!$C$7),0))</f>
        <v/>
      </c>
      <c r="P91" s="3">
        <f>IF(G91="","",M91*(Settings!$C$9+Settings!$C$10))</f>
        <v/>
      </c>
      <c r="Q91" s="3">
        <f>IF(G91="","",IF(F91="BUY",M91*Settings!$C$11,0))</f>
        <v/>
      </c>
      <c r="R91" s="3">
        <f>IF(G91="","",N91*Settings!$C$6)</f>
        <v/>
      </c>
      <c r="S91" s="3">
        <f>IF(G91="","",IF(AND(F91="SELL",E91="Equity Delivery"),Settings!$C$13,0))</f>
        <v/>
      </c>
      <c r="T91" s="3">
        <f>IF(G91="","",SUM(N91:S91))</f>
        <v/>
      </c>
      <c r="U91" s="3">
        <f>IF(G91="","",IF(F91="BUY",-(M91+T91),M91-T91))</f>
        <v/>
      </c>
      <c r="V91">
        <f>IF(G91="","",Settings!$C$4+SUM($U$2:U91))</f>
        <v/>
      </c>
    </row>
    <row r="92">
      <c r="A92">
        <f>IF(G92="","",ROW()-1)</f>
        <v/>
      </c>
      <c r="B92" s="8" t="n"/>
      <c r="G92" s="3" t="n"/>
      <c r="H92" s="3" t="n"/>
      <c r="I92" s="3" t="n"/>
      <c r="J92" s="3" t="n"/>
      <c r="K92" s="3" t="n"/>
      <c r="L92" s="3" t="n"/>
      <c r="M92" s="3">
        <f>IF(G92="","",G92*H92)</f>
        <v/>
      </c>
      <c r="N92" s="3">
        <f>IF(G92="","",Settings!$C$5)</f>
        <v/>
      </c>
      <c r="O92" s="3">
        <f>IF(G92="","",IF(F92="SELL",M92*IF(E92="Equity Intraday",Settings!$C$8,Settings!$C$7),0))</f>
        <v/>
      </c>
      <c r="P92" s="3">
        <f>IF(G92="","",M92*(Settings!$C$9+Settings!$C$10))</f>
        <v/>
      </c>
      <c r="Q92" s="3">
        <f>IF(G92="","",IF(F92="BUY",M92*Settings!$C$11,0))</f>
        <v/>
      </c>
      <c r="R92" s="3">
        <f>IF(G92="","",N92*Settings!$C$6)</f>
        <v/>
      </c>
      <c r="S92" s="3">
        <f>IF(G92="","",IF(AND(F92="SELL",E92="Equity Delivery"),Settings!$C$13,0))</f>
        <v/>
      </c>
      <c r="T92" s="3">
        <f>IF(G92="","",SUM(N92:S92))</f>
        <v/>
      </c>
      <c r="U92" s="3">
        <f>IF(G92="","",IF(F92="BUY",-(M92+T92),M92-T92))</f>
        <v/>
      </c>
      <c r="V92">
        <f>IF(G92="","",Settings!$C$4+SUM($U$2:U92))</f>
        <v/>
      </c>
    </row>
    <row r="93">
      <c r="A93">
        <f>IF(G93="","",ROW()-1)</f>
        <v/>
      </c>
      <c r="B93" s="8" t="n"/>
      <c r="G93" s="3" t="n"/>
      <c r="H93" s="3" t="n"/>
      <c r="I93" s="3" t="n"/>
      <c r="J93" s="3" t="n"/>
      <c r="K93" s="3" t="n"/>
      <c r="L93" s="3" t="n"/>
      <c r="M93" s="3">
        <f>IF(G93="","",G93*H93)</f>
        <v/>
      </c>
      <c r="N93" s="3">
        <f>IF(G93="","",Settings!$C$5)</f>
        <v/>
      </c>
      <c r="O93" s="3">
        <f>IF(G93="","",IF(F93="SELL",M93*IF(E93="Equity Intraday",Settings!$C$8,Settings!$C$7),0))</f>
        <v/>
      </c>
      <c r="P93" s="3">
        <f>IF(G93="","",M93*(Settings!$C$9+Settings!$C$10))</f>
        <v/>
      </c>
      <c r="Q93" s="3">
        <f>IF(G93="","",IF(F93="BUY",M93*Settings!$C$11,0))</f>
        <v/>
      </c>
      <c r="R93" s="3">
        <f>IF(G93="","",N93*Settings!$C$6)</f>
        <v/>
      </c>
      <c r="S93" s="3">
        <f>IF(G93="","",IF(AND(F93="SELL",E93="Equity Delivery"),Settings!$C$13,0))</f>
        <v/>
      </c>
      <c r="T93" s="3">
        <f>IF(G93="","",SUM(N93:S93))</f>
        <v/>
      </c>
      <c r="U93" s="3">
        <f>IF(G93="","",IF(F93="BUY",-(M93+T93),M93-T93))</f>
        <v/>
      </c>
      <c r="V93">
        <f>IF(G93="","",Settings!$C$4+SUM($U$2:U93))</f>
        <v/>
      </c>
    </row>
    <row r="94">
      <c r="A94">
        <f>IF(G94="","",ROW()-1)</f>
        <v/>
      </c>
      <c r="B94" s="8" t="n"/>
      <c r="G94" s="3" t="n"/>
      <c r="H94" s="3" t="n"/>
      <c r="I94" s="3" t="n"/>
      <c r="J94" s="3" t="n"/>
      <c r="K94" s="3" t="n"/>
      <c r="L94" s="3" t="n"/>
      <c r="M94" s="3">
        <f>IF(G94="","",G94*H94)</f>
        <v/>
      </c>
      <c r="N94" s="3">
        <f>IF(G94="","",Settings!$C$5)</f>
        <v/>
      </c>
      <c r="O94" s="3">
        <f>IF(G94="","",IF(F94="SELL",M94*IF(E94="Equity Intraday",Settings!$C$8,Settings!$C$7),0))</f>
        <v/>
      </c>
      <c r="P94" s="3">
        <f>IF(G94="","",M94*(Settings!$C$9+Settings!$C$10))</f>
        <v/>
      </c>
      <c r="Q94" s="3">
        <f>IF(G94="","",IF(F94="BUY",M94*Settings!$C$11,0))</f>
        <v/>
      </c>
      <c r="R94" s="3">
        <f>IF(G94="","",N94*Settings!$C$6)</f>
        <v/>
      </c>
      <c r="S94" s="3">
        <f>IF(G94="","",IF(AND(F94="SELL",E94="Equity Delivery"),Settings!$C$13,0))</f>
        <v/>
      </c>
      <c r="T94" s="3">
        <f>IF(G94="","",SUM(N94:S94))</f>
        <v/>
      </c>
      <c r="U94" s="3">
        <f>IF(G94="","",IF(F94="BUY",-(M94+T94),M94-T94))</f>
        <v/>
      </c>
      <c r="V94">
        <f>IF(G94="","",Settings!$C$4+SUM($U$2:U94))</f>
        <v/>
      </c>
    </row>
    <row r="95">
      <c r="A95">
        <f>IF(G95="","",ROW()-1)</f>
        <v/>
      </c>
      <c r="B95" s="8" t="n"/>
      <c r="G95" s="3" t="n"/>
      <c r="H95" s="3" t="n"/>
      <c r="I95" s="3" t="n"/>
      <c r="J95" s="3" t="n"/>
      <c r="K95" s="3" t="n"/>
      <c r="L95" s="3" t="n"/>
      <c r="M95" s="3">
        <f>IF(G95="","",G95*H95)</f>
        <v/>
      </c>
      <c r="N95" s="3">
        <f>IF(G95="","",Settings!$C$5)</f>
        <v/>
      </c>
      <c r="O95" s="3">
        <f>IF(G95="","",IF(F95="SELL",M95*IF(E95="Equity Intraday",Settings!$C$8,Settings!$C$7),0))</f>
        <v/>
      </c>
      <c r="P95" s="3">
        <f>IF(G95="","",M95*(Settings!$C$9+Settings!$C$10))</f>
        <v/>
      </c>
      <c r="Q95" s="3">
        <f>IF(G95="","",IF(F95="BUY",M95*Settings!$C$11,0))</f>
        <v/>
      </c>
      <c r="R95" s="3">
        <f>IF(G95="","",N95*Settings!$C$6)</f>
        <v/>
      </c>
      <c r="S95" s="3">
        <f>IF(G95="","",IF(AND(F95="SELL",E95="Equity Delivery"),Settings!$C$13,0))</f>
        <v/>
      </c>
      <c r="T95" s="3">
        <f>IF(G95="","",SUM(N95:S95))</f>
        <v/>
      </c>
      <c r="U95" s="3">
        <f>IF(G95="","",IF(F95="BUY",-(M95+T95),M95-T95))</f>
        <v/>
      </c>
      <c r="V95">
        <f>IF(G95="","",Settings!$C$4+SUM($U$2:U95))</f>
        <v/>
      </c>
    </row>
    <row r="96">
      <c r="A96">
        <f>IF(G96="","",ROW()-1)</f>
        <v/>
      </c>
      <c r="B96" s="8" t="n"/>
      <c r="G96" s="3" t="n"/>
      <c r="H96" s="3" t="n"/>
      <c r="I96" s="3" t="n"/>
      <c r="J96" s="3" t="n"/>
      <c r="K96" s="3" t="n"/>
      <c r="L96" s="3" t="n"/>
      <c r="M96" s="3">
        <f>IF(G96="","",G96*H96)</f>
        <v/>
      </c>
      <c r="N96" s="3">
        <f>IF(G96="","",Settings!$C$5)</f>
        <v/>
      </c>
      <c r="O96" s="3">
        <f>IF(G96="","",IF(F96="SELL",M96*IF(E96="Equity Intraday",Settings!$C$8,Settings!$C$7),0))</f>
        <v/>
      </c>
      <c r="P96" s="3">
        <f>IF(G96="","",M96*(Settings!$C$9+Settings!$C$10))</f>
        <v/>
      </c>
      <c r="Q96" s="3">
        <f>IF(G96="","",IF(F96="BUY",M96*Settings!$C$11,0))</f>
        <v/>
      </c>
      <c r="R96" s="3">
        <f>IF(G96="","",N96*Settings!$C$6)</f>
        <v/>
      </c>
      <c r="S96" s="3">
        <f>IF(G96="","",IF(AND(F96="SELL",E96="Equity Delivery"),Settings!$C$13,0))</f>
        <v/>
      </c>
      <c r="T96" s="3">
        <f>IF(G96="","",SUM(N96:S96))</f>
        <v/>
      </c>
      <c r="U96" s="3">
        <f>IF(G96="","",IF(F96="BUY",-(M96+T96),M96-T96))</f>
        <v/>
      </c>
      <c r="V96">
        <f>IF(G96="","",Settings!$C$4+SUM($U$2:U96))</f>
        <v/>
      </c>
    </row>
    <row r="97">
      <c r="A97">
        <f>IF(G97="","",ROW()-1)</f>
        <v/>
      </c>
      <c r="B97" s="8" t="n"/>
      <c r="G97" s="3" t="n"/>
      <c r="H97" s="3" t="n"/>
      <c r="I97" s="3" t="n"/>
      <c r="J97" s="3" t="n"/>
      <c r="K97" s="3" t="n"/>
      <c r="L97" s="3" t="n"/>
      <c r="M97" s="3">
        <f>IF(G97="","",G97*H97)</f>
        <v/>
      </c>
      <c r="N97" s="3">
        <f>IF(G97="","",Settings!$C$5)</f>
        <v/>
      </c>
      <c r="O97" s="3">
        <f>IF(G97="","",IF(F97="SELL",M97*IF(E97="Equity Intraday",Settings!$C$8,Settings!$C$7),0))</f>
        <v/>
      </c>
      <c r="P97" s="3">
        <f>IF(G97="","",M97*(Settings!$C$9+Settings!$C$10))</f>
        <v/>
      </c>
      <c r="Q97" s="3">
        <f>IF(G97="","",IF(F97="BUY",M97*Settings!$C$11,0))</f>
        <v/>
      </c>
      <c r="R97" s="3">
        <f>IF(G97="","",N97*Settings!$C$6)</f>
        <v/>
      </c>
      <c r="S97" s="3">
        <f>IF(G97="","",IF(AND(F97="SELL",E97="Equity Delivery"),Settings!$C$13,0))</f>
        <v/>
      </c>
      <c r="T97" s="3">
        <f>IF(G97="","",SUM(N97:S97))</f>
        <v/>
      </c>
      <c r="U97" s="3">
        <f>IF(G97="","",IF(F97="BUY",-(M97+T97),M97-T97))</f>
        <v/>
      </c>
      <c r="V97">
        <f>IF(G97="","",Settings!$C$4+SUM($U$2:U97))</f>
        <v/>
      </c>
    </row>
    <row r="98">
      <c r="A98">
        <f>IF(G98="","",ROW()-1)</f>
        <v/>
      </c>
      <c r="B98" s="8" t="n"/>
      <c r="G98" s="3" t="n"/>
      <c r="H98" s="3" t="n"/>
      <c r="I98" s="3" t="n"/>
      <c r="J98" s="3" t="n"/>
      <c r="K98" s="3" t="n"/>
      <c r="L98" s="3" t="n"/>
      <c r="M98" s="3">
        <f>IF(G98="","",G98*H98)</f>
        <v/>
      </c>
      <c r="N98" s="3">
        <f>IF(G98="","",Settings!$C$5)</f>
        <v/>
      </c>
      <c r="O98" s="3">
        <f>IF(G98="","",IF(F98="SELL",M98*IF(E98="Equity Intraday",Settings!$C$8,Settings!$C$7),0))</f>
        <v/>
      </c>
      <c r="P98" s="3">
        <f>IF(G98="","",M98*(Settings!$C$9+Settings!$C$10))</f>
        <v/>
      </c>
      <c r="Q98" s="3">
        <f>IF(G98="","",IF(F98="BUY",M98*Settings!$C$11,0))</f>
        <v/>
      </c>
      <c r="R98" s="3">
        <f>IF(G98="","",N98*Settings!$C$6)</f>
        <v/>
      </c>
      <c r="S98" s="3">
        <f>IF(G98="","",IF(AND(F98="SELL",E98="Equity Delivery"),Settings!$C$13,0))</f>
        <v/>
      </c>
      <c r="T98" s="3">
        <f>IF(G98="","",SUM(N98:S98))</f>
        <v/>
      </c>
      <c r="U98" s="3">
        <f>IF(G98="","",IF(F98="BUY",-(M98+T98),M98-T98))</f>
        <v/>
      </c>
      <c r="V98">
        <f>IF(G98="","",Settings!$C$4+SUM($U$2:U98))</f>
        <v/>
      </c>
    </row>
    <row r="99">
      <c r="A99">
        <f>IF(G99="","",ROW()-1)</f>
        <v/>
      </c>
      <c r="B99" s="8" t="n"/>
      <c r="G99" s="3" t="n"/>
      <c r="H99" s="3" t="n"/>
      <c r="I99" s="3" t="n"/>
      <c r="J99" s="3" t="n"/>
      <c r="K99" s="3" t="n"/>
      <c r="L99" s="3" t="n"/>
      <c r="M99" s="3">
        <f>IF(G99="","",G99*H99)</f>
        <v/>
      </c>
      <c r="N99" s="3">
        <f>IF(G99="","",Settings!$C$5)</f>
        <v/>
      </c>
      <c r="O99" s="3">
        <f>IF(G99="","",IF(F99="SELL",M99*IF(E99="Equity Intraday",Settings!$C$8,Settings!$C$7),0))</f>
        <v/>
      </c>
      <c r="P99" s="3">
        <f>IF(G99="","",M99*(Settings!$C$9+Settings!$C$10))</f>
        <v/>
      </c>
      <c r="Q99" s="3">
        <f>IF(G99="","",IF(F99="BUY",M99*Settings!$C$11,0))</f>
        <v/>
      </c>
      <c r="R99" s="3">
        <f>IF(G99="","",N99*Settings!$C$6)</f>
        <v/>
      </c>
      <c r="S99" s="3">
        <f>IF(G99="","",IF(AND(F99="SELL",E99="Equity Delivery"),Settings!$C$13,0))</f>
        <v/>
      </c>
      <c r="T99" s="3">
        <f>IF(G99="","",SUM(N99:S99))</f>
        <v/>
      </c>
      <c r="U99" s="3">
        <f>IF(G99="","",IF(F99="BUY",-(M99+T99),M99-T99))</f>
        <v/>
      </c>
      <c r="V99">
        <f>IF(G99="","",Settings!$C$4+SUM($U$2:U99))</f>
        <v/>
      </c>
    </row>
    <row r="100">
      <c r="A100">
        <f>IF(G100="","",ROW()-1)</f>
        <v/>
      </c>
      <c r="B100" s="8" t="n"/>
      <c r="G100" s="3" t="n"/>
      <c r="H100" s="3" t="n"/>
      <c r="I100" s="3" t="n"/>
      <c r="J100" s="3" t="n"/>
      <c r="K100" s="3" t="n"/>
      <c r="L100" s="3" t="n"/>
      <c r="M100" s="3">
        <f>IF(G100="","",G100*H100)</f>
        <v/>
      </c>
      <c r="N100" s="3">
        <f>IF(G100="","",Settings!$C$5)</f>
        <v/>
      </c>
      <c r="O100" s="3">
        <f>IF(G100="","",IF(F100="SELL",M100*IF(E100="Equity Intraday",Settings!$C$8,Settings!$C$7),0))</f>
        <v/>
      </c>
      <c r="P100" s="3">
        <f>IF(G100="","",M100*(Settings!$C$9+Settings!$C$10))</f>
        <v/>
      </c>
      <c r="Q100" s="3">
        <f>IF(G100="","",IF(F100="BUY",M100*Settings!$C$11,0))</f>
        <v/>
      </c>
      <c r="R100" s="3">
        <f>IF(G100="","",N100*Settings!$C$6)</f>
        <v/>
      </c>
      <c r="S100" s="3">
        <f>IF(G100="","",IF(AND(F100="SELL",E100="Equity Delivery"),Settings!$C$13,0))</f>
        <v/>
      </c>
      <c r="T100" s="3">
        <f>IF(G100="","",SUM(N100:S100))</f>
        <v/>
      </c>
      <c r="U100" s="3">
        <f>IF(G100="","",IF(F100="BUY",-(M100+T100),M100-T100))</f>
        <v/>
      </c>
      <c r="V100">
        <f>IF(G100="","",Settings!$C$4+SUM($U$2:U100))</f>
        <v/>
      </c>
    </row>
    <row r="101">
      <c r="A101">
        <f>IF(G101="","",ROW()-1)</f>
        <v/>
      </c>
      <c r="B101" s="8" t="n"/>
      <c r="G101" s="3" t="n"/>
      <c r="H101" s="3" t="n"/>
      <c r="I101" s="3" t="n"/>
      <c r="J101" s="3" t="n"/>
      <c r="K101" s="3" t="n"/>
      <c r="L101" s="3" t="n"/>
      <c r="M101" s="3">
        <f>IF(G101="","",G101*H101)</f>
        <v/>
      </c>
      <c r="N101" s="3">
        <f>IF(G101="","",Settings!$C$5)</f>
        <v/>
      </c>
      <c r="O101" s="3">
        <f>IF(G101="","",IF(F101="SELL",M101*IF(E101="Equity Intraday",Settings!$C$8,Settings!$C$7),0))</f>
        <v/>
      </c>
      <c r="P101" s="3">
        <f>IF(G101="","",M101*(Settings!$C$9+Settings!$C$10))</f>
        <v/>
      </c>
      <c r="Q101" s="3">
        <f>IF(G101="","",IF(F101="BUY",M101*Settings!$C$11,0))</f>
        <v/>
      </c>
      <c r="R101" s="3">
        <f>IF(G101="","",N101*Settings!$C$6)</f>
        <v/>
      </c>
      <c r="S101" s="3">
        <f>IF(G101="","",IF(AND(F101="SELL",E101="Equity Delivery"),Settings!$C$13,0))</f>
        <v/>
      </c>
      <c r="T101" s="3">
        <f>IF(G101="","",SUM(N101:S101))</f>
        <v/>
      </c>
      <c r="U101" s="3">
        <f>IF(G101="","",IF(F101="BUY",-(M101+T101),M101-T101))</f>
        <v/>
      </c>
      <c r="V101">
        <f>IF(G101="","",Settings!$C$4+SUM($U$2:U101))</f>
        <v/>
      </c>
    </row>
    <row r="102">
      <c r="A102">
        <f>IF(G102="","",ROW()-1)</f>
        <v/>
      </c>
      <c r="B102" s="8" t="n"/>
      <c r="G102" s="3" t="n"/>
      <c r="H102" s="3" t="n"/>
      <c r="I102" s="3" t="n"/>
      <c r="J102" s="3" t="n"/>
      <c r="K102" s="3" t="n"/>
      <c r="L102" s="3" t="n"/>
      <c r="M102" s="3">
        <f>IF(G102="","",G102*H102)</f>
        <v/>
      </c>
      <c r="N102" s="3">
        <f>IF(G102="","",Settings!$C$5)</f>
        <v/>
      </c>
      <c r="O102" s="3">
        <f>IF(G102="","",IF(F102="SELL",M102*IF(E102="Equity Intraday",Settings!$C$8,Settings!$C$7),0))</f>
        <v/>
      </c>
      <c r="P102" s="3">
        <f>IF(G102="","",M102*(Settings!$C$9+Settings!$C$10))</f>
        <v/>
      </c>
      <c r="Q102" s="3">
        <f>IF(G102="","",IF(F102="BUY",M102*Settings!$C$11,0))</f>
        <v/>
      </c>
      <c r="R102" s="3">
        <f>IF(G102="","",N102*Settings!$C$6)</f>
        <v/>
      </c>
      <c r="S102" s="3">
        <f>IF(G102="","",IF(AND(F102="SELL",E102="Equity Delivery"),Settings!$C$13,0))</f>
        <v/>
      </c>
      <c r="T102" s="3">
        <f>IF(G102="","",SUM(N102:S102))</f>
        <v/>
      </c>
      <c r="U102" s="3">
        <f>IF(G102="","",IF(F102="BUY",-(M102+T102),M102-T102))</f>
        <v/>
      </c>
      <c r="V102">
        <f>IF(G102="","",Settings!$C$4+SUM($U$2:U102))</f>
        <v/>
      </c>
    </row>
    <row r="103">
      <c r="A103">
        <f>IF(G103="","",ROW()-1)</f>
        <v/>
      </c>
      <c r="B103" s="8" t="n"/>
      <c r="G103" s="3" t="n"/>
      <c r="H103" s="3" t="n"/>
      <c r="I103" s="3" t="n"/>
      <c r="J103" s="3" t="n"/>
      <c r="K103" s="3" t="n"/>
      <c r="L103" s="3" t="n"/>
      <c r="M103" s="3">
        <f>IF(G103="","",G103*H103)</f>
        <v/>
      </c>
      <c r="N103" s="3">
        <f>IF(G103="","",Settings!$C$5)</f>
        <v/>
      </c>
      <c r="O103" s="3">
        <f>IF(G103="","",IF(F103="SELL",M103*IF(E103="Equity Intraday",Settings!$C$8,Settings!$C$7),0))</f>
        <v/>
      </c>
      <c r="P103" s="3">
        <f>IF(G103="","",M103*(Settings!$C$9+Settings!$C$10))</f>
        <v/>
      </c>
      <c r="Q103" s="3">
        <f>IF(G103="","",IF(F103="BUY",M103*Settings!$C$11,0))</f>
        <v/>
      </c>
      <c r="R103" s="3">
        <f>IF(G103="","",N103*Settings!$C$6)</f>
        <v/>
      </c>
      <c r="S103" s="3">
        <f>IF(G103="","",IF(AND(F103="SELL",E103="Equity Delivery"),Settings!$C$13,0))</f>
        <v/>
      </c>
      <c r="T103" s="3">
        <f>IF(G103="","",SUM(N103:S103))</f>
        <v/>
      </c>
      <c r="U103" s="3">
        <f>IF(G103="","",IF(F103="BUY",-(M103+T103),M103-T103))</f>
        <v/>
      </c>
      <c r="V103">
        <f>IF(G103="","",Settings!$C$4+SUM($U$2:U103))</f>
        <v/>
      </c>
    </row>
    <row r="104">
      <c r="A104">
        <f>IF(G104="","",ROW()-1)</f>
        <v/>
      </c>
      <c r="B104" s="8" t="n"/>
      <c r="G104" s="3" t="n"/>
      <c r="H104" s="3" t="n"/>
      <c r="I104" s="3" t="n"/>
      <c r="J104" s="3" t="n"/>
      <c r="K104" s="3" t="n"/>
      <c r="L104" s="3" t="n"/>
      <c r="M104" s="3">
        <f>IF(G104="","",G104*H104)</f>
        <v/>
      </c>
      <c r="N104" s="3">
        <f>IF(G104="","",Settings!$C$5)</f>
        <v/>
      </c>
      <c r="O104" s="3">
        <f>IF(G104="","",IF(F104="SELL",M104*IF(E104="Equity Intraday",Settings!$C$8,Settings!$C$7),0))</f>
        <v/>
      </c>
      <c r="P104" s="3">
        <f>IF(G104="","",M104*(Settings!$C$9+Settings!$C$10))</f>
        <v/>
      </c>
      <c r="Q104" s="3">
        <f>IF(G104="","",IF(F104="BUY",M104*Settings!$C$11,0))</f>
        <v/>
      </c>
      <c r="R104" s="3">
        <f>IF(G104="","",N104*Settings!$C$6)</f>
        <v/>
      </c>
      <c r="S104" s="3">
        <f>IF(G104="","",IF(AND(F104="SELL",E104="Equity Delivery"),Settings!$C$13,0))</f>
        <v/>
      </c>
      <c r="T104" s="3">
        <f>IF(G104="","",SUM(N104:S104))</f>
        <v/>
      </c>
      <c r="U104" s="3">
        <f>IF(G104="","",IF(F104="BUY",-(M104+T104),M104-T104))</f>
        <v/>
      </c>
      <c r="V104">
        <f>IF(G104="","",Settings!$C$4+SUM($U$2:U104))</f>
        <v/>
      </c>
    </row>
    <row r="105">
      <c r="A105">
        <f>IF(G105="","",ROW()-1)</f>
        <v/>
      </c>
      <c r="B105" s="8" t="n"/>
      <c r="G105" s="3" t="n"/>
      <c r="H105" s="3" t="n"/>
      <c r="I105" s="3" t="n"/>
      <c r="J105" s="3" t="n"/>
      <c r="K105" s="3" t="n"/>
      <c r="L105" s="3" t="n"/>
      <c r="M105" s="3">
        <f>IF(G105="","",G105*H105)</f>
        <v/>
      </c>
      <c r="N105" s="3">
        <f>IF(G105="","",Settings!$C$5)</f>
        <v/>
      </c>
      <c r="O105" s="3">
        <f>IF(G105="","",IF(F105="SELL",M105*IF(E105="Equity Intraday",Settings!$C$8,Settings!$C$7),0))</f>
        <v/>
      </c>
      <c r="P105" s="3">
        <f>IF(G105="","",M105*(Settings!$C$9+Settings!$C$10))</f>
        <v/>
      </c>
      <c r="Q105" s="3">
        <f>IF(G105="","",IF(F105="BUY",M105*Settings!$C$11,0))</f>
        <v/>
      </c>
      <c r="R105" s="3">
        <f>IF(G105="","",N105*Settings!$C$6)</f>
        <v/>
      </c>
      <c r="S105" s="3">
        <f>IF(G105="","",IF(AND(F105="SELL",E105="Equity Delivery"),Settings!$C$13,0))</f>
        <v/>
      </c>
      <c r="T105" s="3">
        <f>IF(G105="","",SUM(N105:S105))</f>
        <v/>
      </c>
      <c r="U105" s="3">
        <f>IF(G105="","",IF(F105="BUY",-(M105+T105),M105-T105))</f>
        <v/>
      </c>
      <c r="V105">
        <f>IF(G105="","",Settings!$C$4+SUM($U$2:U105))</f>
        <v/>
      </c>
    </row>
    <row r="106">
      <c r="A106">
        <f>IF(G106="","",ROW()-1)</f>
        <v/>
      </c>
      <c r="B106" s="8" t="n"/>
      <c r="G106" s="3" t="n"/>
      <c r="H106" s="3" t="n"/>
      <c r="I106" s="3" t="n"/>
      <c r="J106" s="3" t="n"/>
      <c r="K106" s="3" t="n"/>
      <c r="L106" s="3" t="n"/>
      <c r="M106" s="3">
        <f>IF(G106="","",G106*H106)</f>
        <v/>
      </c>
      <c r="N106" s="3">
        <f>IF(G106="","",Settings!$C$5)</f>
        <v/>
      </c>
      <c r="O106" s="3">
        <f>IF(G106="","",IF(F106="SELL",M106*IF(E106="Equity Intraday",Settings!$C$8,Settings!$C$7),0))</f>
        <v/>
      </c>
      <c r="P106" s="3">
        <f>IF(G106="","",M106*(Settings!$C$9+Settings!$C$10))</f>
        <v/>
      </c>
      <c r="Q106" s="3">
        <f>IF(G106="","",IF(F106="BUY",M106*Settings!$C$11,0))</f>
        <v/>
      </c>
      <c r="R106" s="3">
        <f>IF(G106="","",N106*Settings!$C$6)</f>
        <v/>
      </c>
      <c r="S106" s="3">
        <f>IF(G106="","",IF(AND(F106="SELL",E106="Equity Delivery"),Settings!$C$13,0))</f>
        <v/>
      </c>
      <c r="T106" s="3">
        <f>IF(G106="","",SUM(N106:S106))</f>
        <v/>
      </c>
      <c r="U106" s="3">
        <f>IF(G106="","",IF(F106="BUY",-(M106+T106),M106-T106))</f>
        <v/>
      </c>
      <c r="V106">
        <f>IF(G106="","",Settings!$C$4+SUM($U$2:U106))</f>
        <v/>
      </c>
    </row>
    <row r="107">
      <c r="A107">
        <f>IF(G107="","",ROW()-1)</f>
        <v/>
      </c>
      <c r="B107" s="8" t="n"/>
      <c r="G107" s="3" t="n"/>
      <c r="H107" s="3" t="n"/>
      <c r="I107" s="3" t="n"/>
      <c r="J107" s="3" t="n"/>
      <c r="K107" s="3" t="n"/>
      <c r="L107" s="3" t="n"/>
      <c r="M107" s="3">
        <f>IF(G107="","",G107*H107)</f>
        <v/>
      </c>
      <c r="N107" s="3">
        <f>IF(G107="","",Settings!$C$5)</f>
        <v/>
      </c>
      <c r="O107" s="3">
        <f>IF(G107="","",IF(F107="SELL",M107*IF(E107="Equity Intraday",Settings!$C$8,Settings!$C$7),0))</f>
        <v/>
      </c>
      <c r="P107" s="3">
        <f>IF(G107="","",M107*(Settings!$C$9+Settings!$C$10))</f>
        <v/>
      </c>
      <c r="Q107" s="3">
        <f>IF(G107="","",IF(F107="BUY",M107*Settings!$C$11,0))</f>
        <v/>
      </c>
      <c r="R107" s="3">
        <f>IF(G107="","",N107*Settings!$C$6)</f>
        <v/>
      </c>
      <c r="S107" s="3">
        <f>IF(G107="","",IF(AND(F107="SELL",E107="Equity Delivery"),Settings!$C$13,0))</f>
        <v/>
      </c>
      <c r="T107" s="3">
        <f>IF(G107="","",SUM(N107:S107))</f>
        <v/>
      </c>
      <c r="U107" s="3">
        <f>IF(G107="","",IF(F107="BUY",-(M107+T107),M107-T107))</f>
        <v/>
      </c>
      <c r="V107">
        <f>IF(G107="","",Settings!$C$4+SUM($U$2:U107))</f>
        <v/>
      </c>
    </row>
    <row r="108">
      <c r="A108">
        <f>IF(G108="","",ROW()-1)</f>
        <v/>
      </c>
      <c r="B108" s="8" t="n"/>
      <c r="G108" s="3" t="n"/>
      <c r="H108" s="3" t="n"/>
      <c r="I108" s="3" t="n"/>
      <c r="J108" s="3" t="n"/>
      <c r="K108" s="3" t="n"/>
      <c r="L108" s="3" t="n"/>
      <c r="M108" s="3">
        <f>IF(G108="","",G108*H108)</f>
        <v/>
      </c>
      <c r="N108" s="3">
        <f>IF(G108="","",Settings!$C$5)</f>
        <v/>
      </c>
      <c r="O108" s="3">
        <f>IF(G108="","",IF(F108="SELL",M108*IF(E108="Equity Intraday",Settings!$C$8,Settings!$C$7),0))</f>
        <v/>
      </c>
      <c r="P108" s="3">
        <f>IF(G108="","",M108*(Settings!$C$9+Settings!$C$10))</f>
        <v/>
      </c>
      <c r="Q108" s="3">
        <f>IF(G108="","",IF(F108="BUY",M108*Settings!$C$11,0))</f>
        <v/>
      </c>
      <c r="R108" s="3">
        <f>IF(G108="","",N108*Settings!$C$6)</f>
        <v/>
      </c>
      <c r="S108" s="3">
        <f>IF(G108="","",IF(AND(F108="SELL",E108="Equity Delivery"),Settings!$C$13,0))</f>
        <v/>
      </c>
      <c r="T108" s="3">
        <f>IF(G108="","",SUM(N108:S108))</f>
        <v/>
      </c>
      <c r="U108" s="3">
        <f>IF(G108="","",IF(F108="BUY",-(M108+T108),M108-T108))</f>
        <v/>
      </c>
      <c r="V108">
        <f>IF(G108="","",Settings!$C$4+SUM($U$2:U108))</f>
        <v/>
      </c>
    </row>
    <row r="109">
      <c r="A109">
        <f>IF(G109="","",ROW()-1)</f>
        <v/>
      </c>
      <c r="B109" s="8" t="n"/>
      <c r="G109" s="3" t="n"/>
      <c r="H109" s="3" t="n"/>
      <c r="I109" s="3" t="n"/>
      <c r="J109" s="3" t="n"/>
      <c r="K109" s="3" t="n"/>
      <c r="L109" s="3" t="n"/>
      <c r="M109" s="3">
        <f>IF(G109="","",G109*H109)</f>
        <v/>
      </c>
      <c r="N109" s="3">
        <f>IF(G109="","",Settings!$C$5)</f>
        <v/>
      </c>
      <c r="O109" s="3">
        <f>IF(G109="","",IF(F109="SELL",M109*IF(E109="Equity Intraday",Settings!$C$8,Settings!$C$7),0))</f>
        <v/>
      </c>
      <c r="P109" s="3">
        <f>IF(G109="","",M109*(Settings!$C$9+Settings!$C$10))</f>
        <v/>
      </c>
      <c r="Q109" s="3">
        <f>IF(G109="","",IF(F109="BUY",M109*Settings!$C$11,0))</f>
        <v/>
      </c>
      <c r="R109" s="3">
        <f>IF(G109="","",N109*Settings!$C$6)</f>
        <v/>
      </c>
      <c r="S109" s="3">
        <f>IF(G109="","",IF(AND(F109="SELL",E109="Equity Delivery"),Settings!$C$13,0))</f>
        <v/>
      </c>
      <c r="T109" s="3">
        <f>IF(G109="","",SUM(N109:S109))</f>
        <v/>
      </c>
      <c r="U109" s="3">
        <f>IF(G109="","",IF(F109="BUY",-(M109+T109),M109-T109))</f>
        <v/>
      </c>
      <c r="V109">
        <f>IF(G109="","",Settings!$C$4+SUM($U$2:U109))</f>
        <v/>
      </c>
    </row>
    <row r="110">
      <c r="A110">
        <f>IF(G110="","",ROW()-1)</f>
        <v/>
      </c>
      <c r="B110" s="8" t="n"/>
      <c r="G110" s="3" t="n"/>
      <c r="H110" s="3" t="n"/>
      <c r="I110" s="3" t="n"/>
      <c r="J110" s="3" t="n"/>
      <c r="K110" s="3" t="n"/>
      <c r="L110" s="3" t="n"/>
      <c r="M110" s="3">
        <f>IF(G110="","",G110*H110)</f>
        <v/>
      </c>
      <c r="N110" s="3">
        <f>IF(G110="","",Settings!$C$5)</f>
        <v/>
      </c>
      <c r="O110" s="3">
        <f>IF(G110="","",IF(F110="SELL",M110*IF(E110="Equity Intraday",Settings!$C$8,Settings!$C$7),0))</f>
        <v/>
      </c>
      <c r="P110" s="3">
        <f>IF(G110="","",M110*(Settings!$C$9+Settings!$C$10))</f>
        <v/>
      </c>
      <c r="Q110" s="3">
        <f>IF(G110="","",IF(F110="BUY",M110*Settings!$C$11,0))</f>
        <v/>
      </c>
      <c r="R110" s="3">
        <f>IF(G110="","",N110*Settings!$C$6)</f>
        <v/>
      </c>
      <c r="S110" s="3">
        <f>IF(G110="","",IF(AND(F110="SELL",E110="Equity Delivery"),Settings!$C$13,0))</f>
        <v/>
      </c>
      <c r="T110" s="3">
        <f>IF(G110="","",SUM(N110:S110))</f>
        <v/>
      </c>
      <c r="U110" s="3">
        <f>IF(G110="","",IF(F110="BUY",-(M110+T110),M110-T110))</f>
        <v/>
      </c>
      <c r="V110">
        <f>IF(G110="","",Settings!$C$4+SUM($U$2:U110))</f>
        <v/>
      </c>
    </row>
    <row r="111">
      <c r="A111">
        <f>IF(G111="","",ROW()-1)</f>
        <v/>
      </c>
      <c r="B111" s="8" t="n"/>
      <c r="G111" s="3" t="n"/>
      <c r="H111" s="3" t="n"/>
      <c r="I111" s="3" t="n"/>
      <c r="J111" s="3" t="n"/>
      <c r="K111" s="3" t="n"/>
      <c r="L111" s="3" t="n"/>
      <c r="M111" s="3">
        <f>IF(G111="","",G111*H111)</f>
        <v/>
      </c>
      <c r="N111" s="3">
        <f>IF(G111="","",Settings!$C$5)</f>
        <v/>
      </c>
      <c r="O111" s="3">
        <f>IF(G111="","",IF(F111="SELL",M111*IF(E111="Equity Intraday",Settings!$C$8,Settings!$C$7),0))</f>
        <v/>
      </c>
      <c r="P111" s="3">
        <f>IF(G111="","",M111*(Settings!$C$9+Settings!$C$10))</f>
        <v/>
      </c>
      <c r="Q111" s="3">
        <f>IF(G111="","",IF(F111="BUY",M111*Settings!$C$11,0))</f>
        <v/>
      </c>
      <c r="R111" s="3">
        <f>IF(G111="","",N111*Settings!$C$6)</f>
        <v/>
      </c>
      <c r="S111" s="3">
        <f>IF(G111="","",IF(AND(F111="SELL",E111="Equity Delivery"),Settings!$C$13,0))</f>
        <v/>
      </c>
      <c r="T111" s="3">
        <f>IF(G111="","",SUM(N111:S111))</f>
        <v/>
      </c>
      <c r="U111" s="3">
        <f>IF(G111="","",IF(F111="BUY",-(M111+T111),M111-T111))</f>
        <v/>
      </c>
      <c r="V111">
        <f>IF(G111="","",Settings!$C$4+SUM($U$2:U111))</f>
        <v/>
      </c>
    </row>
    <row r="112">
      <c r="A112">
        <f>IF(G112="","",ROW()-1)</f>
        <v/>
      </c>
      <c r="B112" s="8" t="n"/>
      <c r="G112" s="3" t="n"/>
      <c r="H112" s="3" t="n"/>
      <c r="I112" s="3" t="n"/>
      <c r="J112" s="3" t="n"/>
      <c r="K112" s="3" t="n"/>
      <c r="L112" s="3" t="n"/>
      <c r="M112" s="3">
        <f>IF(G112="","",G112*H112)</f>
        <v/>
      </c>
      <c r="N112" s="3">
        <f>IF(G112="","",Settings!$C$5)</f>
        <v/>
      </c>
      <c r="O112" s="3">
        <f>IF(G112="","",IF(F112="SELL",M112*IF(E112="Equity Intraday",Settings!$C$8,Settings!$C$7),0))</f>
        <v/>
      </c>
      <c r="P112" s="3">
        <f>IF(G112="","",M112*(Settings!$C$9+Settings!$C$10))</f>
        <v/>
      </c>
      <c r="Q112" s="3">
        <f>IF(G112="","",IF(F112="BUY",M112*Settings!$C$11,0))</f>
        <v/>
      </c>
      <c r="R112" s="3">
        <f>IF(G112="","",N112*Settings!$C$6)</f>
        <v/>
      </c>
      <c r="S112" s="3">
        <f>IF(G112="","",IF(AND(F112="SELL",E112="Equity Delivery"),Settings!$C$13,0))</f>
        <v/>
      </c>
      <c r="T112" s="3">
        <f>IF(G112="","",SUM(N112:S112))</f>
        <v/>
      </c>
      <c r="U112" s="3">
        <f>IF(G112="","",IF(F112="BUY",-(M112+T112),M112-T112))</f>
        <v/>
      </c>
      <c r="V112">
        <f>IF(G112="","",Settings!$C$4+SUM($U$2:U112))</f>
        <v/>
      </c>
    </row>
    <row r="113">
      <c r="A113">
        <f>IF(G113="","",ROW()-1)</f>
        <v/>
      </c>
      <c r="B113" s="8" t="n"/>
      <c r="G113" s="3" t="n"/>
      <c r="H113" s="3" t="n"/>
      <c r="I113" s="3" t="n"/>
      <c r="J113" s="3" t="n"/>
      <c r="K113" s="3" t="n"/>
      <c r="L113" s="3" t="n"/>
      <c r="M113" s="3">
        <f>IF(G113="","",G113*H113)</f>
        <v/>
      </c>
      <c r="N113" s="3">
        <f>IF(G113="","",Settings!$C$5)</f>
        <v/>
      </c>
      <c r="O113" s="3">
        <f>IF(G113="","",IF(F113="SELL",M113*IF(E113="Equity Intraday",Settings!$C$8,Settings!$C$7),0))</f>
        <v/>
      </c>
      <c r="P113" s="3">
        <f>IF(G113="","",M113*(Settings!$C$9+Settings!$C$10))</f>
        <v/>
      </c>
      <c r="Q113" s="3">
        <f>IF(G113="","",IF(F113="BUY",M113*Settings!$C$11,0))</f>
        <v/>
      </c>
      <c r="R113" s="3">
        <f>IF(G113="","",N113*Settings!$C$6)</f>
        <v/>
      </c>
      <c r="S113" s="3">
        <f>IF(G113="","",IF(AND(F113="SELL",E113="Equity Delivery"),Settings!$C$13,0))</f>
        <v/>
      </c>
      <c r="T113" s="3">
        <f>IF(G113="","",SUM(N113:S113))</f>
        <v/>
      </c>
      <c r="U113" s="3">
        <f>IF(G113="","",IF(F113="BUY",-(M113+T113),M113-T113))</f>
        <v/>
      </c>
      <c r="V113">
        <f>IF(G113="","",Settings!$C$4+SUM($U$2:U113))</f>
        <v/>
      </c>
    </row>
    <row r="114">
      <c r="A114">
        <f>IF(G114="","",ROW()-1)</f>
        <v/>
      </c>
      <c r="B114" s="8" t="n"/>
      <c r="G114" s="3" t="n"/>
      <c r="H114" s="3" t="n"/>
      <c r="I114" s="3" t="n"/>
      <c r="J114" s="3" t="n"/>
      <c r="K114" s="3" t="n"/>
      <c r="L114" s="3" t="n"/>
      <c r="M114" s="3">
        <f>IF(G114="","",G114*H114)</f>
        <v/>
      </c>
      <c r="N114" s="3">
        <f>IF(G114="","",Settings!$C$5)</f>
        <v/>
      </c>
      <c r="O114" s="3">
        <f>IF(G114="","",IF(F114="SELL",M114*IF(E114="Equity Intraday",Settings!$C$8,Settings!$C$7),0))</f>
        <v/>
      </c>
      <c r="P114" s="3">
        <f>IF(G114="","",M114*(Settings!$C$9+Settings!$C$10))</f>
        <v/>
      </c>
      <c r="Q114" s="3">
        <f>IF(G114="","",IF(F114="BUY",M114*Settings!$C$11,0))</f>
        <v/>
      </c>
      <c r="R114" s="3">
        <f>IF(G114="","",N114*Settings!$C$6)</f>
        <v/>
      </c>
      <c r="S114" s="3">
        <f>IF(G114="","",IF(AND(F114="SELL",E114="Equity Delivery"),Settings!$C$13,0))</f>
        <v/>
      </c>
      <c r="T114" s="3">
        <f>IF(G114="","",SUM(N114:S114))</f>
        <v/>
      </c>
      <c r="U114" s="3">
        <f>IF(G114="","",IF(F114="BUY",-(M114+T114),M114-T114))</f>
        <v/>
      </c>
      <c r="V114">
        <f>IF(G114="","",Settings!$C$4+SUM($U$2:U114))</f>
        <v/>
      </c>
    </row>
    <row r="115">
      <c r="A115">
        <f>IF(G115="","",ROW()-1)</f>
        <v/>
      </c>
      <c r="B115" s="8" t="n"/>
      <c r="G115" s="3" t="n"/>
      <c r="H115" s="3" t="n"/>
      <c r="I115" s="3" t="n"/>
      <c r="J115" s="3" t="n"/>
      <c r="K115" s="3" t="n"/>
      <c r="L115" s="3" t="n"/>
      <c r="M115" s="3">
        <f>IF(G115="","",G115*H115)</f>
        <v/>
      </c>
      <c r="N115" s="3">
        <f>IF(G115="","",Settings!$C$5)</f>
        <v/>
      </c>
      <c r="O115" s="3">
        <f>IF(G115="","",IF(F115="SELL",M115*IF(E115="Equity Intraday",Settings!$C$8,Settings!$C$7),0))</f>
        <v/>
      </c>
      <c r="P115" s="3">
        <f>IF(G115="","",M115*(Settings!$C$9+Settings!$C$10))</f>
        <v/>
      </c>
      <c r="Q115" s="3">
        <f>IF(G115="","",IF(F115="BUY",M115*Settings!$C$11,0))</f>
        <v/>
      </c>
      <c r="R115" s="3">
        <f>IF(G115="","",N115*Settings!$C$6)</f>
        <v/>
      </c>
      <c r="S115" s="3">
        <f>IF(G115="","",IF(AND(F115="SELL",E115="Equity Delivery"),Settings!$C$13,0))</f>
        <v/>
      </c>
      <c r="T115" s="3">
        <f>IF(G115="","",SUM(N115:S115))</f>
        <v/>
      </c>
      <c r="U115" s="3">
        <f>IF(G115="","",IF(F115="BUY",-(M115+T115),M115-T115))</f>
        <v/>
      </c>
      <c r="V115">
        <f>IF(G115="","",Settings!$C$4+SUM($U$2:U115))</f>
        <v/>
      </c>
    </row>
    <row r="116">
      <c r="A116">
        <f>IF(G116="","",ROW()-1)</f>
        <v/>
      </c>
      <c r="B116" s="8" t="n"/>
      <c r="G116" s="3" t="n"/>
      <c r="H116" s="3" t="n"/>
      <c r="I116" s="3" t="n"/>
      <c r="J116" s="3" t="n"/>
      <c r="K116" s="3" t="n"/>
      <c r="L116" s="3" t="n"/>
      <c r="M116" s="3">
        <f>IF(G116="","",G116*H116)</f>
        <v/>
      </c>
      <c r="N116" s="3">
        <f>IF(G116="","",Settings!$C$5)</f>
        <v/>
      </c>
      <c r="O116" s="3">
        <f>IF(G116="","",IF(F116="SELL",M116*IF(E116="Equity Intraday",Settings!$C$8,Settings!$C$7),0))</f>
        <v/>
      </c>
      <c r="P116" s="3">
        <f>IF(G116="","",M116*(Settings!$C$9+Settings!$C$10))</f>
        <v/>
      </c>
      <c r="Q116" s="3">
        <f>IF(G116="","",IF(F116="BUY",M116*Settings!$C$11,0))</f>
        <v/>
      </c>
      <c r="R116" s="3">
        <f>IF(G116="","",N116*Settings!$C$6)</f>
        <v/>
      </c>
      <c r="S116" s="3">
        <f>IF(G116="","",IF(AND(F116="SELL",E116="Equity Delivery"),Settings!$C$13,0))</f>
        <v/>
      </c>
      <c r="T116" s="3">
        <f>IF(G116="","",SUM(N116:S116))</f>
        <v/>
      </c>
      <c r="U116" s="3">
        <f>IF(G116="","",IF(F116="BUY",-(M116+T116),M116-T116))</f>
        <v/>
      </c>
      <c r="V116">
        <f>IF(G116="","",Settings!$C$4+SUM($U$2:U116))</f>
        <v/>
      </c>
    </row>
    <row r="117">
      <c r="A117">
        <f>IF(G117="","",ROW()-1)</f>
        <v/>
      </c>
      <c r="B117" s="8" t="n"/>
      <c r="G117" s="3" t="n"/>
      <c r="H117" s="3" t="n"/>
      <c r="I117" s="3" t="n"/>
      <c r="J117" s="3" t="n"/>
      <c r="K117" s="3" t="n"/>
      <c r="L117" s="3" t="n"/>
      <c r="M117" s="3">
        <f>IF(G117="","",G117*H117)</f>
        <v/>
      </c>
      <c r="N117" s="3">
        <f>IF(G117="","",Settings!$C$5)</f>
        <v/>
      </c>
      <c r="O117" s="3">
        <f>IF(G117="","",IF(F117="SELL",M117*IF(E117="Equity Intraday",Settings!$C$8,Settings!$C$7),0))</f>
        <v/>
      </c>
      <c r="P117" s="3">
        <f>IF(G117="","",M117*(Settings!$C$9+Settings!$C$10))</f>
        <v/>
      </c>
      <c r="Q117" s="3">
        <f>IF(G117="","",IF(F117="BUY",M117*Settings!$C$11,0))</f>
        <v/>
      </c>
      <c r="R117" s="3">
        <f>IF(G117="","",N117*Settings!$C$6)</f>
        <v/>
      </c>
      <c r="S117" s="3">
        <f>IF(G117="","",IF(AND(F117="SELL",E117="Equity Delivery"),Settings!$C$13,0))</f>
        <v/>
      </c>
      <c r="T117" s="3">
        <f>IF(G117="","",SUM(N117:S117))</f>
        <v/>
      </c>
      <c r="U117" s="3">
        <f>IF(G117="","",IF(F117="BUY",-(M117+T117),M117-T117))</f>
        <v/>
      </c>
      <c r="V117">
        <f>IF(G117="","",Settings!$C$4+SUM($U$2:U117))</f>
        <v/>
      </c>
    </row>
    <row r="118">
      <c r="A118">
        <f>IF(G118="","",ROW()-1)</f>
        <v/>
      </c>
      <c r="B118" s="8" t="n"/>
      <c r="G118" s="3" t="n"/>
      <c r="H118" s="3" t="n"/>
      <c r="I118" s="3" t="n"/>
      <c r="J118" s="3" t="n"/>
      <c r="K118" s="3" t="n"/>
      <c r="L118" s="3" t="n"/>
      <c r="M118" s="3">
        <f>IF(G118="","",G118*H118)</f>
        <v/>
      </c>
      <c r="N118" s="3">
        <f>IF(G118="","",Settings!$C$5)</f>
        <v/>
      </c>
      <c r="O118" s="3">
        <f>IF(G118="","",IF(F118="SELL",M118*IF(E118="Equity Intraday",Settings!$C$8,Settings!$C$7),0))</f>
        <v/>
      </c>
      <c r="P118" s="3">
        <f>IF(G118="","",M118*(Settings!$C$9+Settings!$C$10))</f>
        <v/>
      </c>
      <c r="Q118" s="3">
        <f>IF(G118="","",IF(F118="BUY",M118*Settings!$C$11,0))</f>
        <v/>
      </c>
      <c r="R118" s="3">
        <f>IF(G118="","",N118*Settings!$C$6)</f>
        <v/>
      </c>
      <c r="S118" s="3">
        <f>IF(G118="","",IF(AND(F118="SELL",E118="Equity Delivery"),Settings!$C$13,0))</f>
        <v/>
      </c>
      <c r="T118" s="3">
        <f>IF(G118="","",SUM(N118:S118))</f>
        <v/>
      </c>
      <c r="U118" s="3">
        <f>IF(G118="","",IF(F118="BUY",-(M118+T118),M118-T118))</f>
        <v/>
      </c>
      <c r="V118">
        <f>IF(G118="","",Settings!$C$4+SUM($U$2:U118))</f>
        <v/>
      </c>
    </row>
    <row r="119">
      <c r="A119">
        <f>IF(G119="","",ROW()-1)</f>
        <v/>
      </c>
      <c r="B119" s="8" t="n"/>
      <c r="G119" s="3" t="n"/>
      <c r="H119" s="3" t="n"/>
      <c r="I119" s="3" t="n"/>
      <c r="J119" s="3" t="n"/>
      <c r="K119" s="3" t="n"/>
      <c r="L119" s="3" t="n"/>
      <c r="M119" s="3">
        <f>IF(G119="","",G119*H119)</f>
        <v/>
      </c>
      <c r="N119" s="3">
        <f>IF(G119="","",Settings!$C$5)</f>
        <v/>
      </c>
      <c r="O119" s="3">
        <f>IF(G119="","",IF(F119="SELL",M119*IF(E119="Equity Intraday",Settings!$C$8,Settings!$C$7),0))</f>
        <v/>
      </c>
      <c r="P119" s="3">
        <f>IF(G119="","",M119*(Settings!$C$9+Settings!$C$10))</f>
        <v/>
      </c>
      <c r="Q119" s="3">
        <f>IF(G119="","",IF(F119="BUY",M119*Settings!$C$11,0))</f>
        <v/>
      </c>
      <c r="R119" s="3">
        <f>IF(G119="","",N119*Settings!$C$6)</f>
        <v/>
      </c>
      <c r="S119" s="3">
        <f>IF(G119="","",IF(AND(F119="SELL",E119="Equity Delivery"),Settings!$C$13,0))</f>
        <v/>
      </c>
      <c r="T119" s="3">
        <f>IF(G119="","",SUM(N119:S119))</f>
        <v/>
      </c>
      <c r="U119" s="3">
        <f>IF(G119="","",IF(F119="BUY",-(M119+T119),M119-T119))</f>
        <v/>
      </c>
      <c r="V119">
        <f>IF(G119="","",Settings!$C$4+SUM($U$2:U119))</f>
        <v/>
      </c>
    </row>
    <row r="120">
      <c r="A120">
        <f>IF(G120="","",ROW()-1)</f>
        <v/>
      </c>
      <c r="B120" s="8" t="n"/>
      <c r="G120" s="3" t="n"/>
      <c r="H120" s="3" t="n"/>
      <c r="I120" s="3" t="n"/>
      <c r="J120" s="3" t="n"/>
      <c r="K120" s="3" t="n"/>
      <c r="L120" s="3" t="n"/>
      <c r="M120" s="3">
        <f>IF(G120="","",G120*H120)</f>
        <v/>
      </c>
      <c r="N120" s="3">
        <f>IF(G120="","",Settings!$C$5)</f>
        <v/>
      </c>
      <c r="O120" s="3">
        <f>IF(G120="","",IF(F120="SELL",M120*IF(E120="Equity Intraday",Settings!$C$8,Settings!$C$7),0))</f>
        <v/>
      </c>
      <c r="P120" s="3">
        <f>IF(G120="","",M120*(Settings!$C$9+Settings!$C$10))</f>
        <v/>
      </c>
      <c r="Q120" s="3">
        <f>IF(G120="","",IF(F120="BUY",M120*Settings!$C$11,0))</f>
        <v/>
      </c>
      <c r="R120" s="3">
        <f>IF(G120="","",N120*Settings!$C$6)</f>
        <v/>
      </c>
      <c r="S120" s="3">
        <f>IF(G120="","",IF(AND(F120="SELL",E120="Equity Delivery"),Settings!$C$13,0))</f>
        <v/>
      </c>
      <c r="T120" s="3">
        <f>IF(G120="","",SUM(N120:S120))</f>
        <v/>
      </c>
      <c r="U120" s="3">
        <f>IF(G120="","",IF(F120="BUY",-(M120+T120),M120-T120))</f>
        <v/>
      </c>
      <c r="V120">
        <f>IF(G120="","",Settings!$C$4+SUM($U$2:U120))</f>
        <v/>
      </c>
    </row>
    <row r="121">
      <c r="A121">
        <f>IF(G121="","",ROW()-1)</f>
        <v/>
      </c>
      <c r="B121" s="8" t="n"/>
      <c r="G121" s="3" t="n"/>
      <c r="H121" s="3" t="n"/>
      <c r="I121" s="3" t="n"/>
      <c r="J121" s="3" t="n"/>
      <c r="K121" s="3" t="n"/>
      <c r="L121" s="3" t="n"/>
      <c r="M121" s="3">
        <f>IF(G121="","",G121*H121)</f>
        <v/>
      </c>
      <c r="N121" s="3">
        <f>IF(G121="","",Settings!$C$5)</f>
        <v/>
      </c>
      <c r="O121" s="3">
        <f>IF(G121="","",IF(F121="SELL",M121*IF(E121="Equity Intraday",Settings!$C$8,Settings!$C$7),0))</f>
        <v/>
      </c>
      <c r="P121" s="3">
        <f>IF(G121="","",M121*(Settings!$C$9+Settings!$C$10))</f>
        <v/>
      </c>
      <c r="Q121" s="3">
        <f>IF(G121="","",IF(F121="BUY",M121*Settings!$C$11,0))</f>
        <v/>
      </c>
      <c r="R121" s="3">
        <f>IF(G121="","",N121*Settings!$C$6)</f>
        <v/>
      </c>
      <c r="S121" s="3">
        <f>IF(G121="","",IF(AND(F121="SELL",E121="Equity Delivery"),Settings!$C$13,0))</f>
        <v/>
      </c>
      <c r="T121" s="3">
        <f>IF(G121="","",SUM(N121:S121))</f>
        <v/>
      </c>
      <c r="U121" s="3">
        <f>IF(G121="","",IF(F121="BUY",-(M121+T121),M121-T121))</f>
        <v/>
      </c>
      <c r="V121">
        <f>IF(G121="","",Settings!$C$4+SUM($U$2:U121))</f>
        <v/>
      </c>
    </row>
    <row r="122">
      <c r="A122">
        <f>IF(G122="","",ROW()-1)</f>
        <v/>
      </c>
      <c r="B122" s="8" t="n"/>
      <c r="G122" s="3" t="n"/>
      <c r="H122" s="3" t="n"/>
      <c r="I122" s="3" t="n"/>
      <c r="J122" s="3" t="n"/>
      <c r="K122" s="3" t="n"/>
      <c r="L122" s="3" t="n"/>
      <c r="M122" s="3">
        <f>IF(G122="","",G122*H122)</f>
        <v/>
      </c>
      <c r="N122" s="3">
        <f>IF(G122="","",Settings!$C$5)</f>
        <v/>
      </c>
      <c r="O122" s="3">
        <f>IF(G122="","",IF(F122="SELL",M122*IF(E122="Equity Intraday",Settings!$C$8,Settings!$C$7),0))</f>
        <v/>
      </c>
      <c r="P122" s="3">
        <f>IF(G122="","",M122*(Settings!$C$9+Settings!$C$10))</f>
        <v/>
      </c>
      <c r="Q122" s="3">
        <f>IF(G122="","",IF(F122="BUY",M122*Settings!$C$11,0))</f>
        <v/>
      </c>
      <c r="R122" s="3">
        <f>IF(G122="","",N122*Settings!$C$6)</f>
        <v/>
      </c>
      <c r="S122" s="3">
        <f>IF(G122="","",IF(AND(F122="SELL",E122="Equity Delivery"),Settings!$C$13,0))</f>
        <v/>
      </c>
      <c r="T122" s="3">
        <f>IF(G122="","",SUM(N122:S122))</f>
        <v/>
      </c>
      <c r="U122" s="3">
        <f>IF(G122="","",IF(F122="BUY",-(M122+T122),M122-T122))</f>
        <v/>
      </c>
      <c r="V122">
        <f>IF(G122="","",Settings!$C$4+SUM($U$2:U122))</f>
        <v/>
      </c>
    </row>
    <row r="123">
      <c r="A123">
        <f>IF(G123="","",ROW()-1)</f>
        <v/>
      </c>
      <c r="B123" s="8" t="n"/>
      <c r="G123" s="3" t="n"/>
      <c r="H123" s="3" t="n"/>
      <c r="I123" s="3" t="n"/>
      <c r="J123" s="3" t="n"/>
      <c r="K123" s="3" t="n"/>
      <c r="L123" s="3" t="n"/>
      <c r="M123" s="3">
        <f>IF(G123="","",G123*H123)</f>
        <v/>
      </c>
      <c r="N123" s="3">
        <f>IF(G123="","",Settings!$C$5)</f>
        <v/>
      </c>
      <c r="O123" s="3">
        <f>IF(G123="","",IF(F123="SELL",M123*IF(E123="Equity Intraday",Settings!$C$8,Settings!$C$7),0))</f>
        <v/>
      </c>
      <c r="P123" s="3">
        <f>IF(G123="","",M123*(Settings!$C$9+Settings!$C$10))</f>
        <v/>
      </c>
      <c r="Q123" s="3">
        <f>IF(G123="","",IF(F123="BUY",M123*Settings!$C$11,0))</f>
        <v/>
      </c>
      <c r="R123" s="3">
        <f>IF(G123="","",N123*Settings!$C$6)</f>
        <v/>
      </c>
      <c r="S123" s="3">
        <f>IF(G123="","",IF(AND(F123="SELL",E123="Equity Delivery"),Settings!$C$13,0))</f>
        <v/>
      </c>
      <c r="T123" s="3">
        <f>IF(G123="","",SUM(N123:S123))</f>
        <v/>
      </c>
      <c r="U123" s="3">
        <f>IF(G123="","",IF(F123="BUY",-(M123+T123),M123-T123))</f>
        <v/>
      </c>
      <c r="V123">
        <f>IF(G123="","",Settings!$C$4+SUM($U$2:U123))</f>
        <v/>
      </c>
    </row>
    <row r="124">
      <c r="A124">
        <f>IF(G124="","",ROW()-1)</f>
        <v/>
      </c>
      <c r="B124" s="8" t="n"/>
      <c r="G124" s="3" t="n"/>
      <c r="H124" s="3" t="n"/>
      <c r="I124" s="3" t="n"/>
      <c r="J124" s="3" t="n"/>
      <c r="K124" s="3" t="n"/>
      <c r="L124" s="3" t="n"/>
      <c r="M124" s="3">
        <f>IF(G124="","",G124*H124)</f>
        <v/>
      </c>
      <c r="N124" s="3">
        <f>IF(G124="","",Settings!$C$5)</f>
        <v/>
      </c>
      <c r="O124" s="3">
        <f>IF(G124="","",IF(F124="SELL",M124*IF(E124="Equity Intraday",Settings!$C$8,Settings!$C$7),0))</f>
        <v/>
      </c>
      <c r="P124" s="3">
        <f>IF(G124="","",M124*(Settings!$C$9+Settings!$C$10))</f>
        <v/>
      </c>
      <c r="Q124" s="3">
        <f>IF(G124="","",IF(F124="BUY",M124*Settings!$C$11,0))</f>
        <v/>
      </c>
      <c r="R124" s="3">
        <f>IF(G124="","",N124*Settings!$C$6)</f>
        <v/>
      </c>
      <c r="S124" s="3">
        <f>IF(G124="","",IF(AND(F124="SELL",E124="Equity Delivery"),Settings!$C$13,0))</f>
        <v/>
      </c>
      <c r="T124" s="3">
        <f>IF(G124="","",SUM(N124:S124))</f>
        <v/>
      </c>
      <c r="U124" s="3">
        <f>IF(G124="","",IF(F124="BUY",-(M124+T124),M124-T124))</f>
        <v/>
      </c>
      <c r="V124">
        <f>IF(G124="","",Settings!$C$4+SUM($U$2:U124))</f>
        <v/>
      </c>
    </row>
    <row r="125">
      <c r="A125">
        <f>IF(G125="","",ROW()-1)</f>
        <v/>
      </c>
      <c r="B125" s="8" t="n"/>
      <c r="G125" s="3" t="n"/>
      <c r="H125" s="3" t="n"/>
      <c r="I125" s="3" t="n"/>
      <c r="J125" s="3" t="n"/>
      <c r="K125" s="3" t="n"/>
      <c r="L125" s="3" t="n"/>
      <c r="M125" s="3">
        <f>IF(G125="","",G125*H125)</f>
        <v/>
      </c>
      <c r="N125" s="3">
        <f>IF(G125="","",Settings!$C$5)</f>
        <v/>
      </c>
      <c r="O125" s="3">
        <f>IF(G125="","",IF(F125="SELL",M125*IF(E125="Equity Intraday",Settings!$C$8,Settings!$C$7),0))</f>
        <v/>
      </c>
      <c r="P125" s="3">
        <f>IF(G125="","",M125*(Settings!$C$9+Settings!$C$10))</f>
        <v/>
      </c>
      <c r="Q125" s="3">
        <f>IF(G125="","",IF(F125="BUY",M125*Settings!$C$11,0))</f>
        <v/>
      </c>
      <c r="R125" s="3">
        <f>IF(G125="","",N125*Settings!$C$6)</f>
        <v/>
      </c>
      <c r="S125" s="3">
        <f>IF(G125="","",IF(AND(F125="SELL",E125="Equity Delivery"),Settings!$C$13,0))</f>
        <v/>
      </c>
      <c r="T125" s="3">
        <f>IF(G125="","",SUM(N125:S125))</f>
        <v/>
      </c>
      <c r="U125" s="3">
        <f>IF(G125="","",IF(F125="BUY",-(M125+T125),M125-T125))</f>
        <v/>
      </c>
      <c r="V125">
        <f>IF(G125="","",Settings!$C$4+SUM($U$2:U125))</f>
        <v/>
      </c>
    </row>
    <row r="126">
      <c r="A126">
        <f>IF(G126="","",ROW()-1)</f>
        <v/>
      </c>
      <c r="B126" s="8" t="n"/>
      <c r="G126" s="3" t="n"/>
      <c r="H126" s="3" t="n"/>
      <c r="I126" s="3" t="n"/>
      <c r="J126" s="3" t="n"/>
      <c r="K126" s="3" t="n"/>
      <c r="L126" s="3" t="n"/>
      <c r="M126" s="3">
        <f>IF(G126="","",G126*H126)</f>
        <v/>
      </c>
      <c r="N126" s="3">
        <f>IF(G126="","",Settings!$C$5)</f>
        <v/>
      </c>
      <c r="O126" s="3">
        <f>IF(G126="","",IF(F126="SELL",M126*IF(E126="Equity Intraday",Settings!$C$8,Settings!$C$7),0))</f>
        <v/>
      </c>
      <c r="P126" s="3">
        <f>IF(G126="","",M126*(Settings!$C$9+Settings!$C$10))</f>
        <v/>
      </c>
      <c r="Q126" s="3">
        <f>IF(G126="","",IF(F126="BUY",M126*Settings!$C$11,0))</f>
        <v/>
      </c>
      <c r="R126" s="3">
        <f>IF(G126="","",N126*Settings!$C$6)</f>
        <v/>
      </c>
      <c r="S126" s="3">
        <f>IF(G126="","",IF(AND(F126="SELL",E126="Equity Delivery"),Settings!$C$13,0))</f>
        <v/>
      </c>
      <c r="T126" s="3">
        <f>IF(G126="","",SUM(N126:S126))</f>
        <v/>
      </c>
      <c r="U126" s="3">
        <f>IF(G126="","",IF(F126="BUY",-(M126+T126),M126-T126))</f>
        <v/>
      </c>
      <c r="V126">
        <f>IF(G126="","",Settings!$C$4+SUM($U$2:U126))</f>
        <v/>
      </c>
    </row>
    <row r="127">
      <c r="A127">
        <f>IF(G127="","",ROW()-1)</f>
        <v/>
      </c>
      <c r="B127" s="8" t="n"/>
      <c r="G127" s="3" t="n"/>
      <c r="H127" s="3" t="n"/>
      <c r="I127" s="3" t="n"/>
      <c r="J127" s="3" t="n"/>
      <c r="K127" s="3" t="n"/>
      <c r="L127" s="3" t="n"/>
      <c r="M127" s="3">
        <f>IF(G127="","",G127*H127)</f>
        <v/>
      </c>
      <c r="N127" s="3">
        <f>IF(G127="","",Settings!$C$5)</f>
        <v/>
      </c>
      <c r="O127" s="3">
        <f>IF(G127="","",IF(F127="SELL",M127*IF(E127="Equity Intraday",Settings!$C$8,Settings!$C$7),0))</f>
        <v/>
      </c>
      <c r="P127" s="3">
        <f>IF(G127="","",M127*(Settings!$C$9+Settings!$C$10))</f>
        <v/>
      </c>
      <c r="Q127" s="3">
        <f>IF(G127="","",IF(F127="BUY",M127*Settings!$C$11,0))</f>
        <v/>
      </c>
      <c r="R127" s="3">
        <f>IF(G127="","",N127*Settings!$C$6)</f>
        <v/>
      </c>
      <c r="S127" s="3">
        <f>IF(G127="","",IF(AND(F127="SELL",E127="Equity Delivery"),Settings!$C$13,0))</f>
        <v/>
      </c>
      <c r="T127" s="3">
        <f>IF(G127="","",SUM(N127:S127))</f>
        <v/>
      </c>
      <c r="U127" s="3">
        <f>IF(G127="","",IF(F127="BUY",-(M127+T127),M127-T127))</f>
        <v/>
      </c>
      <c r="V127">
        <f>IF(G127="","",Settings!$C$4+SUM($U$2:U127))</f>
        <v/>
      </c>
    </row>
    <row r="128">
      <c r="A128">
        <f>IF(G128="","",ROW()-1)</f>
        <v/>
      </c>
      <c r="B128" s="8" t="n"/>
      <c r="G128" s="3" t="n"/>
      <c r="H128" s="3" t="n"/>
      <c r="I128" s="3" t="n"/>
      <c r="J128" s="3" t="n"/>
      <c r="K128" s="3" t="n"/>
      <c r="L128" s="3" t="n"/>
      <c r="M128" s="3">
        <f>IF(G128="","",G128*H128)</f>
        <v/>
      </c>
      <c r="N128" s="3">
        <f>IF(G128="","",Settings!$C$5)</f>
        <v/>
      </c>
      <c r="O128" s="3">
        <f>IF(G128="","",IF(F128="SELL",M128*IF(E128="Equity Intraday",Settings!$C$8,Settings!$C$7),0))</f>
        <v/>
      </c>
      <c r="P128" s="3">
        <f>IF(G128="","",M128*(Settings!$C$9+Settings!$C$10))</f>
        <v/>
      </c>
      <c r="Q128" s="3">
        <f>IF(G128="","",IF(F128="BUY",M128*Settings!$C$11,0))</f>
        <v/>
      </c>
      <c r="R128" s="3">
        <f>IF(G128="","",N128*Settings!$C$6)</f>
        <v/>
      </c>
      <c r="S128" s="3">
        <f>IF(G128="","",IF(AND(F128="SELL",E128="Equity Delivery"),Settings!$C$13,0))</f>
        <v/>
      </c>
      <c r="T128" s="3">
        <f>IF(G128="","",SUM(N128:S128))</f>
        <v/>
      </c>
      <c r="U128" s="3">
        <f>IF(G128="","",IF(F128="BUY",-(M128+T128),M128-T128))</f>
        <v/>
      </c>
      <c r="V128">
        <f>IF(G128="","",Settings!$C$4+SUM($U$2:U128))</f>
        <v/>
      </c>
    </row>
    <row r="129">
      <c r="A129">
        <f>IF(G129="","",ROW()-1)</f>
        <v/>
      </c>
      <c r="B129" s="8" t="n"/>
      <c r="G129" s="3" t="n"/>
      <c r="H129" s="3" t="n"/>
      <c r="I129" s="3" t="n"/>
      <c r="J129" s="3" t="n"/>
      <c r="K129" s="3" t="n"/>
      <c r="L129" s="3" t="n"/>
      <c r="M129" s="3">
        <f>IF(G129="","",G129*H129)</f>
        <v/>
      </c>
      <c r="N129" s="3">
        <f>IF(G129="","",Settings!$C$5)</f>
        <v/>
      </c>
      <c r="O129" s="3">
        <f>IF(G129="","",IF(F129="SELL",M129*IF(E129="Equity Intraday",Settings!$C$8,Settings!$C$7),0))</f>
        <v/>
      </c>
      <c r="P129" s="3">
        <f>IF(G129="","",M129*(Settings!$C$9+Settings!$C$10))</f>
        <v/>
      </c>
      <c r="Q129" s="3">
        <f>IF(G129="","",IF(F129="BUY",M129*Settings!$C$11,0))</f>
        <v/>
      </c>
      <c r="R129" s="3">
        <f>IF(G129="","",N129*Settings!$C$6)</f>
        <v/>
      </c>
      <c r="S129" s="3">
        <f>IF(G129="","",IF(AND(F129="SELL",E129="Equity Delivery"),Settings!$C$13,0))</f>
        <v/>
      </c>
      <c r="T129" s="3">
        <f>IF(G129="","",SUM(N129:S129))</f>
        <v/>
      </c>
      <c r="U129" s="3">
        <f>IF(G129="","",IF(F129="BUY",-(M129+T129),M129-T129))</f>
        <v/>
      </c>
      <c r="V129">
        <f>IF(G129="","",Settings!$C$4+SUM($U$2:U129))</f>
        <v/>
      </c>
    </row>
    <row r="130">
      <c r="A130">
        <f>IF(G130="","",ROW()-1)</f>
        <v/>
      </c>
      <c r="B130" s="8" t="n"/>
      <c r="G130" s="3" t="n"/>
      <c r="H130" s="3" t="n"/>
      <c r="I130" s="3" t="n"/>
      <c r="J130" s="3" t="n"/>
      <c r="K130" s="3" t="n"/>
      <c r="L130" s="3" t="n"/>
      <c r="M130" s="3">
        <f>IF(G130="","",G130*H130)</f>
        <v/>
      </c>
      <c r="N130" s="3">
        <f>IF(G130="","",Settings!$C$5)</f>
        <v/>
      </c>
      <c r="O130" s="3">
        <f>IF(G130="","",IF(F130="SELL",M130*IF(E130="Equity Intraday",Settings!$C$8,Settings!$C$7),0))</f>
        <v/>
      </c>
      <c r="P130" s="3">
        <f>IF(G130="","",M130*(Settings!$C$9+Settings!$C$10))</f>
        <v/>
      </c>
      <c r="Q130" s="3">
        <f>IF(G130="","",IF(F130="BUY",M130*Settings!$C$11,0))</f>
        <v/>
      </c>
      <c r="R130" s="3">
        <f>IF(G130="","",N130*Settings!$C$6)</f>
        <v/>
      </c>
      <c r="S130" s="3">
        <f>IF(G130="","",IF(AND(F130="SELL",E130="Equity Delivery"),Settings!$C$13,0))</f>
        <v/>
      </c>
      <c r="T130" s="3">
        <f>IF(G130="","",SUM(N130:S130))</f>
        <v/>
      </c>
      <c r="U130" s="3">
        <f>IF(G130="","",IF(F130="BUY",-(M130+T130),M130-T130))</f>
        <v/>
      </c>
      <c r="V130">
        <f>IF(G130="","",Settings!$C$4+SUM($U$2:U130))</f>
        <v/>
      </c>
    </row>
    <row r="131">
      <c r="A131">
        <f>IF(G131="","",ROW()-1)</f>
        <v/>
      </c>
      <c r="B131" s="8" t="n"/>
      <c r="G131" s="3" t="n"/>
      <c r="H131" s="3" t="n"/>
      <c r="I131" s="3" t="n"/>
      <c r="J131" s="3" t="n"/>
      <c r="K131" s="3" t="n"/>
      <c r="L131" s="3" t="n"/>
      <c r="M131" s="3">
        <f>IF(G131="","",G131*H131)</f>
        <v/>
      </c>
      <c r="N131" s="3">
        <f>IF(G131="","",Settings!$C$5)</f>
        <v/>
      </c>
      <c r="O131" s="3">
        <f>IF(G131="","",IF(F131="SELL",M131*IF(E131="Equity Intraday",Settings!$C$8,Settings!$C$7),0))</f>
        <v/>
      </c>
      <c r="P131" s="3">
        <f>IF(G131="","",M131*(Settings!$C$9+Settings!$C$10))</f>
        <v/>
      </c>
      <c r="Q131" s="3">
        <f>IF(G131="","",IF(F131="BUY",M131*Settings!$C$11,0))</f>
        <v/>
      </c>
      <c r="R131" s="3">
        <f>IF(G131="","",N131*Settings!$C$6)</f>
        <v/>
      </c>
      <c r="S131" s="3">
        <f>IF(G131="","",IF(AND(F131="SELL",E131="Equity Delivery"),Settings!$C$13,0))</f>
        <v/>
      </c>
      <c r="T131" s="3">
        <f>IF(G131="","",SUM(N131:S131))</f>
        <v/>
      </c>
      <c r="U131" s="3">
        <f>IF(G131="","",IF(F131="BUY",-(M131+T131),M131-T131))</f>
        <v/>
      </c>
      <c r="V131">
        <f>IF(G131="","",Settings!$C$4+SUM($U$2:U131))</f>
        <v/>
      </c>
    </row>
    <row r="132">
      <c r="A132">
        <f>IF(G132="","",ROW()-1)</f>
        <v/>
      </c>
      <c r="B132" s="8" t="n"/>
      <c r="G132" s="3" t="n"/>
      <c r="H132" s="3" t="n"/>
      <c r="I132" s="3" t="n"/>
      <c r="J132" s="3" t="n"/>
      <c r="K132" s="3" t="n"/>
      <c r="L132" s="3" t="n"/>
      <c r="M132" s="3">
        <f>IF(G132="","",G132*H132)</f>
        <v/>
      </c>
      <c r="N132" s="3">
        <f>IF(G132="","",Settings!$C$5)</f>
        <v/>
      </c>
      <c r="O132" s="3">
        <f>IF(G132="","",IF(F132="SELL",M132*IF(E132="Equity Intraday",Settings!$C$8,Settings!$C$7),0))</f>
        <v/>
      </c>
      <c r="P132" s="3">
        <f>IF(G132="","",M132*(Settings!$C$9+Settings!$C$10))</f>
        <v/>
      </c>
      <c r="Q132" s="3">
        <f>IF(G132="","",IF(F132="BUY",M132*Settings!$C$11,0))</f>
        <v/>
      </c>
      <c r="R132" s="3">
        <f>IF(G132="","",N132*Settings!$C$6)</f>
        <v/>
      </c>
      <c r="S132" s="3">
        <f>IF(G132="","",IF(AND(F132="SELL",E132="Equity Delivery"),Settings!$C$13,0))</f>
        <v/>
      </c>
      <c r="T132" s="3">
        <f>IF(G132="","",SUM(N132:S132))</f>
        <v/>
      </c>
      <c r="U132" s="3">
        <f>IF(G132="","",IF(F132="BUY",-(M132+T132),M132-T132))</f>
        <v/>
      </c>
      <c r="V132">
        <f>IF(G132="","",Settings!$C$4+SUM($U$2:U132))</f>
        <v/>
      </c>
    </row>
    <row r="133">
      <c r="A133">
        <f>IF(G133="","",ROW()-1)</f>
        <v/>
      </c>
      <c r="B133" s="8" t="n"/>
      <c r="G133" s="3" t="n"/>
      <c r="H133" s="3" t="n"/>
      <c r="I133" s="3" t="n"/>
      <c r="J133" s="3" t="n"/>
      <c r="K133" s="3" t="n"/>
      <c r="L133" s="3" t="n"/>
      <c r="M133" s="3">
        <f>IF(G133="","",G133*H133)</f>
        <v/>
      </c>
      <c r="N133" s="3">
        <f>IF(G133="","",Settings!$C$5)</f>
        <v/>
      </c>
      <c r="O133" s="3">
        <f>IF(G133="","",IF(F133="SELL",M133*IF(E133="Equity Intraday",Settings!$C$8,Settings!$C$7),0))</f>
        <v/>
      </c>
      <c r="P133" s="3">
        <f>IF(G133="","",M133*(Settings!$C$9+Settings!$C$10))</f>
        <v/>
      </c>
      <c r="Q133" s="3">
        <f>IF(G133="","",IF(F133="BUY",M133*Settings!$C$11,0))</f>
        <v/>
      </c>
      <c r="R133" s="3">
        <f>IF(G133="","",N133*Settings!$C$6)</f>
        <v/>
      </c>
      <c r="S133" s="3">
        <f>IF(G133="","",IF(AND(F133="SELL",E133="Equity Delivery"),Settings!$C$13,0))</f>
        <v/>
      </c>
      <c r="T133" s="3">
        <f>IF(G133="","",SUM(N133:S133))</f>
        <v/>
      </c>
      <c r="U133" s="3">
        <f>IF(G133="","",IF(F133="BUY",-(M133+T133),M133-T133))</f>
        <v/>
      </c>
      <c r="V133">
        <f>IF(G133="","",Settings!$C$4+SUM($U$2:U133))</f>
        <v/>
      </c>
    </row>
    <row r="134">
      <c r="A134">
        <f>IF(G134="","",ROW()-1)</f>
        <v/>
      </c>
      <c r="B134" s="8" t="n"/>
      <c r="G134" s="3" t="n"/>
      <c r="H134" s="3" t="n"/>
      <c r="I134" s="3" t="n"/>
      <c r="J134" s="3" t="n"/>
      <c r="K134" s="3" t="n"/>
      <c r="L134" s="3" t="n"/>
      <c r="M134" s="3">
        <f>IF(G134="","",G134*H134)</f>
        <v/>
      </c>
      <c r="N134" s="3">
        <f>IF(G134="","",Settings!$C$5)</f>
        <v/>
      </c>
      <c r="O134" s="3">
        <f>IF(G134="","",IF(F134="SELL",M134*IF(E134="Equity Intraday",Settings!$C$8,Settings!$C$7),0))</f>
        <v/>
      </c>
      <c r="P134" s="3">
        <f>IF(G134="","",M134*(Settings!$C$9+Settings!$C$10))</f>
        <v/>
      </c>
      <c r="Q134" s="3">
        <f>IF(G134="","",IF(F134="BUY",M134*Settings!$C$11,0))</f>
        <v/>
      </c>
      <c r="R134" s="3">
        <f>IF(G134="","",N134*Settings!$C$6)</f>
        <v/>
      </c>
      <c r="S134" s="3">
        <f>IF(G134="","",IF(AND(F134="SELL",E134="Equity Delivery"),Settings!$C$13,0))</f>
        <v/>
      </c>
      <c r="T134" s="3">
        <f>IF(G134="","",SUM(N134:S134))</f>
        <v/>
      </c>
      <c r="U134" s="3">
        <f>IF(G134="","",IF(F134="BUY",-(M134+T134),M134-T134))</f>
        <v/>
      </c>
      <c r="V134">
        <f>IF(G134="","",Settings!$C$4+SUM($U$2:U134))</f>
        <v/>
      </c>
    </row>
    <row r="135">
      <c r="A135">
        <f>IF(G135="","",ROW()-1)</f>
        <v/>
      </c>
      <c r="B135" s="8" t="n"/>
      <c r="G135" s="3" t="n"/>
      <c r="H135" s="3" t="n"/>
      <c r="I135" s="3" t="n"/>
      <c r="J135" s="3" t="n"/>
      <c r="K135" s="3" t="n"/>
      <c r="L135" s="3" t="n"/>
      <c r="M135" s="3">
        <f>IF(G135="","",G135*H135)</f>
        <v/>
      </c>
      <c r="N135" s="3">
        <f>IF(G135="","",Settings!$C$5)</f>
        <v/>
      </c>
      <c r="O135" s="3">
        <f>IF(G135="","",IF(F135="SELL",M135*IF(E135="Equity Intraday",Settings!$C$8,Settings!$C$7),0))</f>
        <v/>
      </c>
      <c r="P135" s="3">
        <f>IF(G135="","",M135*(Settings!$C$9+Settings!$C$10))</f>
        <v/>
      </c>
      <c r="Q135" s="3">
        <f>IF(G135="","",IF(F135="BUY",M135*Settings!$C$11,0))</f>
        <v/>
      </c>
      <c r="R135" s="3">
        <f>IF(G135="","",N135*Settings!$C$6)</f>
        <v/>
      </c>
      <c r="S135" s="3">
        <f>IF(G135="","",IF(AND(F135="SELL",E135="Equity Delivery"),Settings!$C$13,0))</f>
        <v/>
      </c>
      <c r="T135" s="3">
        <f>IF(G135="","",SUM(N135:S135))</f>
        <v/>
      </c>
      <c r="U135" s="3">
        <f>IF(G135="","",IF(F135="BUY",-(M135+T135),M135-T135))</f>
        <v/>
      </c>
      <c r="V135">
        <f>IF(G135="","",Settings!$C$4+SUM($U$2:U135))</f>
        <v/>
      </c>
    </row>
    <row r="136">
      <c r="A136">
        <f>IF(G136="","",ROW()-1)</f>
        <v/>
      </c>
      <c r="B136" s="8" t="n"/>
      <c r="G136" s="3" t="n"/>
      <c r="H136" s="3" t="n"/>
      <c r="I136" s="3" t="n"/>
      <c r="J136" s="3" t="n"/>
      <c r="K136" s="3" t="n"/>
      <c r="L136" s="3" t="n"/>
      <c r="M136" s="3">
        <f>IF(G136="","",G136*H136)</f>
        <v/>
      </c>
      <c r="N136" s="3">
        <f>IF(G136="","",Settings!$C$5)</f>
        <v/>
      </c>
      <c r="O136" s="3">
        <f>IF(G136="","",IF(F136="SELL",M136*IF(E136="Equity Intraday",Settings!$C$8,Settings!$C$7),0))</f>
        <v/>
      </c>
      <c r="P136" s="3">
        <f>IF(G136="","",M136*(Settings!$C$9+Settings!$C$10))</f>
        <v/>
      </c>
      <c r="Q136" s="3">
        <f>IF(G136="","",IF(F136="BUY",M136*Settings!$C$11,0))</f>
        <v/>
      </c>
      <c r="R136" s="3">
        <f>IF(G136="","",N136*Settings!$C$6)</f>
        <v/>
      </c>
      <c r="S136" s="3">
        <f>IF(G136="","",IF(AND(F136="SELL",E136="Equity Delivery"),Settings!$C$13,0))</f>
        <v/>
      </c>
      <c r="T136" s="3">
        <f>IF(G136="","",SUM(N136:S136))</f>
        <v/>
      </c>
      <c r="U136" s="3">
        <f>IF(G136="","",IF(F136="BUY",-(M136+T136),M136-T136))</f>
        <v/>
      </c>
      <c r="V136">
        <f>IF(G136="","",Settings!$C$4+SUM($U$2:U136))</f>
        <v/>
      </c>
    </row>
    <row r="137">
      <c r="A137">
        <f>IF(G137="","",ROW()-1)</f>
        <v/>
      </c>
      <c r="B137" s="8" t="n"/>
      <c r="G137" s="3" t="n"/>
      <c r="H137" s="3" t="n"/>
      <c r="I137" s="3" t="n"/>
      <c r="J137" s="3" t="n"/>
      <c r="K137" s="3" t="n"/>
      <c r="L137" s="3" t="n"/>
      <c r="M137" s="3">
        <f>IF(G137="","",G137*H137)</f>
        <v/>
      </c>
      <c r="N137" s="3">
        <f>IF(G137="","",Settings!$C$5)</f>
        <v/>
      </c>
      <c r="O137" s="3">
        <f>IF(G137="","",IF(F137="SELL",M137*IF(E137="Equity Intraday",Settings!$C$8,Settings!$C$7),0))</f>
        <v/>
      </c>
      <c r="P137" s="3">
        <f>IF(G137="","",M137*(Settings!$C$9+Settings!$C$10))</f>
        <v/>
      </c>
      <c r="Q137" s="3">
        <f>IF(G137="","",IF(F137="BUY",M137*Settings!$C$11,0))</f>
        <v/>
      </c>
      <c r="R137" s="3">
        <f>IF(G137="","",N137*Settings!$C$6)</f>
        <v/>
      </c>
      <c r="S137" s="3">
        <f>IF(G137="","",IF(AND(F137="SELL",E137="Equity Delivery"),Settings!$C$13,0))</f>
        <v/>
      </c>
      <c r="T137" s="3">
        <f>IF(G137="","",SUM(N137:S137))</f>
        <v/>
      </c>
      <c r="U137" s="3">
        <f>IF(G137="","",IF(F137="BUY",-(M137+T137),M137-T137))</f>
        <v/>
      </c>
      <c r="V137">
        <f>IF(G137="","",Settings!$C$4+SUM($U$2:U137))</f>
        <v/>
      </c>
    </row>
    <row r="138">
      <c r="A138">
        <f>IF(G138="","",ROW()-1)</f>
        <v/>
      </c>
      <c r="B138" s="8" t="n"/>
      <c r="G138" s="3" t="n"/>
      <c r="H138" s="3" t="n"/>
      <c r="I138" s="3" t="n"/>
      <c r="J138" s="3" t="n"/>
      <c r="K138" s="3" t="n"/>
      <c r="L138" s="3" t="n"/>
      <c r="M138" s="3">
        <f>IF(G138="","",G138*H138)</f>
        <v/>
      </c>
      <c r="N138" s="3">
        <f>IF(G138="","",Settings!$C$5)</f>
        <v/>
      </c>
      <c r="O138" s="3">
        <f>IF(G138="","",IF(F138="SELL",M138*IF(E138="Equity Intraday",Settings!$C$8,Settings!$C$7),0))</f>
        <v/>
      </c>
      <c r="P138" s="3">
        <f>IF(G138="","",M138*(Settings!$C$9+Settings!$C$10))</f>
        <v/>
      </c>
      <c r="Q138" s="3">
        <f>IF(G138="","",IF(F138="BUY",M138*Settings!$C$11,0))</f>
        <v/>
      </c>
      <c r="R138" s="3">
        <f>IF(G138="","",N138*Settings!$C$6)</f>
        <v/>
      </c>
      <c r="S138" s="3">
        <f>IF(G138="","",IF(AND(F138="SELL",E138="Equity Delivery"),Settings!$C$13,0))</f>
        <v/>
      </c>
      <c r="T138" s="3">
        <f>IF(G138="","",SUM(N138:S138))</f>
        <v/>
      </c>
      <c r="U138" s="3">
        <f>IF(G138="","",IF(F138="BUY",-(M138+T138),M138-T138))</f>
        <v/>
      </c>
      <c r="V138">
        <f>IF(G138="","",Settings!$C$4+SUM($U$2:U138))</f>
        <v/>
      </c>
    </row>
    <row r="139">
      <c r="A139">
        <f>IF(G139="","",ROW()-1)</f>
        <v/>
      </c>
      <c r="B139" s="8" t="n"/>
      <c r="G139" s="3" t="n"/>
      <c r="H139" s="3" t="n"/>
      <c r="I139" s="3" t="n"/>
      <c r="J139" s="3" t="n"/>
      <c r="K139" s="3" t="n"/>
      <c r="L139" s="3" t="n"/>
      <c r="M139" s="3">
        <f>IF(G139="","",G139*H139)</f>
        <v/>
      </c>
      <c r="N139" s="3">
        <f>IF(G139="","",Settings!$C$5)</f>
        <v/>
      </c>
      <c r="O139" s="3">
        <f>IF(G139="","",IF(F139="SELL",M139*IF(E139="Equity Intraday",Settings!$C$8,Settings!$C$7),0))</f>
        <v/>
      </c>
      <c r="P139" s="3">
        <f>IF(G139="","",M139*(Settings!$C$9+Settings!$C$10))</f>
        <v/>
      </c>
      <c r="Q139" s="3">
        <f>IF(G139="","",IF(F139="BUY",M139*Settings!$C$11,0))</f>
        <v/>
      </c>
      <c r="R139" s="3">
        <f>IF(G139="","",N139*Settings!$C$6)</f>
        <v/>
      </c>
      <c r="S139" s="3">
        <f>IF(G139="","",IF(AND(F139="SELL",E139="Equity Delivery"),Settings!$C$13,0))</f>
        <v/>
      </c>
      <c r="T139" s="3">
        <f>IF(G139="","",SUM(N139:S139))</f>
        <v/>
      </c>
      <c r="U139" s="3">
        <f>IF(G139="","",IF(F139="BUY",-(M139+T139),M139-T139))</f>
        <v/>
      </c>
      <c r="V139">
        <f>IF(G139="","",Settings!$C$4+SUM($U$2:U139))</f>
        <v/>
      </c>
    </row>
    <row r="140">
      <c r="A140">
        <f>IF(G140="","",ROW()-1)</f>
        <v/>
      </c>
      <c r="B140" s="8" t="n"/>
      <c r="G140" s="3" t="n"/>
      <c r="H140" s="3" t="n"/>
      <c r="I140" s="3" t="n"/>
      <c r="J140" s="3" t="n"/>
      <c r="K140" s="3" t="n"/>
      <c r="L140" s="3" t="n"/>
      <c r="M140" s="3">
        <f>IF(G140="","",G140*H140)</f>
        <v/>
      </c>
      <c r="N140" s="3">
        <f>IF(G140="","",Settings!$C$5)</f>
        <v/>
      </c>
      <c r="O140" s="3">
        <f>IF(G140="","",IF(F140="SELL",M140*IF(E140="Equity Intraday",Settings!$C$8,Settings!$C$7),0))</f>
        <v/>
      </c>
      <c r="P140" s="3">
        <f>IF(G140="","",M140*(Settings!$C$9+Settings!$C$10))</f>
        <v/>
      </c>
      <c r="Q140" s="3">
        <f>IF(G140="","",IF(F140="BUY",M140*Settings!$C$11,0))</f>
        <v/>
      </c>
      <c r="R140" s="3">
        <f>IF(G140="","",N140*Settings!$C$6)</f>
        <v/>
      </c>
      <c r="S140" s="3">
        <f>IF(G140="","",IF(AND(F140="SELL",E140="Equity Delivery"),Settings!$C$13,0))</f>
        <v/>
      </c>
      <c r="T140" s="3">
        <f>IF(G140="","",SUM(N140:S140))</f>
        <v/>
      </c>
      <c r="U140" s="3">
        <f>IF(G140="","",IF(F140="BUY",-(M140+T140),M140-T140))</f>
        <v/>
      </c>
      <c r="V140">
        <f>IF(G140="","",Settings!$C$4+SUM($U$2:U140))</f>
        <v/>
      </c>
    </row>
    <row r="141">
      <c r="A141">
        <f>IF(G141="","",ROW()-1)</f>
        <v/>
      </c>
      <c r="B141" s="8" t="n"/>
      <c r="G141" s="3" t="n"/>
      <c r="H141" s="3" t="n"/>
      <c r="I141" s="3" t="n"/>
      <c r="J141" s="3" t="n"/>
      <c r="K141" s="3" t="n"/>
      <c r="L141" s="3" t="n"/>
      <c r="M141" s="3">
        <f>IF(G141="","",G141*H141)</f>
        <v/>
      </c>
      <c r="N141" s="3">
        <f>IF(G141="","",Settings!$C$5)</f>
        <v/>
      </c>
      <c r="O141" s="3">
        <f>IF(G141="","",IF(F141="SELL",M141*IF(E141="Equity Intraday",Settings!$C$8,Settings!$C$7),0))</f>
        <v/>
      </c>
      <c r="P141" s="3">
        <f>IF(G141="","",M141*(Settings!$C$9+Settings!$C$10))</f>
        <v/>
      </c>
      <c r="Q141" s="3">
        <f>IF(G141="","",IF(F141="BUY",M141*Settings!$C$11,0))</f>
        <v/>
      </c>
      <c r="R141" s="3">
        <f>IF(G141="","",N141*Settings!$C$6)</f>
        <v/>
      </c>
      <c r="S141" s="3">
        <f>IF(G141="","",IF(AND(F141="SELL",E141="Equity Delivery"),Settings!$C$13,0))</f>
        <v/>
      </c>
      <c r="T141" s="3">
        <f>IF(G141="","",SUM(N141:S141))</f>
        <v/>
      </c>
      <c r="U141" s="3">
        <f>IF(G141="","",IF(F141="BUY",-(M141+T141),M141-T141))</f>
        <v/>
      </c>
      <c r="V141">
        <f>IF(G141="","",Settings!$C$4+SUM($U$2:U141))</f>
        <v/>
      </c>
    </row>
    <row r="142">
      <c r="A142">
        <f>IF(G142="","",ROW()-1)</f>
        <v/>
      </c>
      <c r="B142" s="8" t="n"/>
      <c r="G142" s="3" t="n"/>
      <c r="H142" s="3" t="n"/>
      <c r="I142" s="3" t="n"/>
      <c r="J142" s="3" t="n"/>
      <c r="K142" s="3" t="n"/>
      <c r="L142" s="3" t="n"/>
      <c r="M142" s="3">
        <f>IF(G142="","",G142*H142)</f>
        <v/>
      </c>
      <c r="N142" s="3">
        <f>IF(G142="","",Settings!$C$5)</f>
        <v/>
      </c>
      <c r="O142" s="3">
        <f>IF(G142="","",IF(F142="SELL",M142*IF(E142="Equity Intraday",Settings!$C$8,Settings!$C$7),0))</f>
        <v/>
      </c>
      <c r="P142" s="3">
        <f>IF(G142="","",M142*(Settings!$C$9+Settings!$C$10))</f>
        <v/>
      </c>
      <c r="Q142" s="3">
        <f>IF(G142="","",IF(F142="BUY",M142*Settings!$C$11,0))</f>
        <v/>
      </c>
      <c r="R142" s="3">
        <f>IF(G142="","",N142*Settings!$C$6)</f>
        <v/>
      </c>
      <c r="S142" s="3">
        <f>IF(G142="","",IF(AND(F142="SELL",E142="Equity Delivery"),Settings!$C$13,0))</f>
        <v/>
      </c>
      <c r="T142" s="3">
        <f>IF(G142="","",SUM(N142:S142))</f>
        <v/>
      </c>
      <c r="U142" s="3">
        <f>IF(G142="","",IF(F142="BUY",-(M142+T142),M142-T142))</f>
        <v/>
      </c>
      <c r="V142">
        <f>IF(G142="","",Settings!$C$4+SUM($U$2:U142))</f>
        <v/>
      </c>
    </row>
    <row r="143">
      <c r="A143">
        <f>IF(G143="","",ROW()-1)</f>
        <v/>
      </c>
      <c r="B143" s="8" t="n"/>
      <c r="G143" s="3" t="n"/>
      <c r="H143" s="3" t="n"/>
      <c r="I143" s="3" t="n"/>
      <c r="J143" s="3" t="n"/>
      <c r="K143" s="3" t="n"/>
      <c r="L143" s="3" t="n"/>
      <c r="M143" s="3">
        <f>IF(G143="","",G143*H143)</f>
        <v/>
      </c>
      <c r="N143" s="3">
        <f>IF(G143="","",Settings!$C$5)</f>
        <v/>
      </c>
      <c r="O143" s="3">
        <f>IF(G143="","",IF(F143="SELL",M143*IF(E143="Equity Intraday",Settings!$C$8,Settings!$C$7),0))</f>
        <v/>
      </c>
      <c r="P143" s="3">
        <f>IF(G143="","",M143*(Settings!$C$9+Settings!$C$10))</f>
        <v/>
      </c>
      <c r="Q143" s="3">
        <f>IF(G143="","",IF(F143="BUY",M143*Settings!$C$11,0))</f>
        <v/>
      </c>
      <c r="R143" s="3">
        <f>IF(G143="","",N143*Settings!$C$6)</f>
        <v/>
      </c>
      <c r="S143" s="3">
        <f>IF(G143="","",IF(AND(F143="SELL",E143="Equity Delivery"),Settings!$C$13,0))</f>
        <v/>
      </c>
      <c r="T143" s="3">
        <f>IF(G143="","",SUM(N143:S143))</f>
        <v/>
      </c>
      <c r="U143" s="3">
        <f>IF(G143="","",IF(F143="BUY",-(M143+T143),M143-T143))</f>
        <v/>
      </c>
      <c r="V143">
        <f>IF(G143="","",Settings!$C$4+SUM($U$2:U143))</f>
        <v/>
      </c>
    </row>
    <row r="144">
      <c r="A144">
        <f>IF(G144="","",ROW()-1)</f>
        <v/>
      </c>
      <c r="B144" s="8" t="n"/>
      <c r="G144" s="3" t="n"/>
      <c r="H144" s="3" t="n"/>
      <c r="I144" s="3" t="n"/>
      <c r="J144" s="3" t="n"/>
      <c r="K144" s="3" t="n"/>
      <c r="L144" s="3" t="n"/>
      <c r="M144" s="3">
        <f>IF(G144="","",G144*H144)</f>
        <v/>
      </c>
      <c r="N144" s="3">
        <f>IF(G144="","",Settings!$C$5)</f>
        <v/>
      </c>
      <c r="O144" s="3">
        <f>IF(G144="","",IF(F144="SELL",M144*IF(E144="Equity Intraday",Settings!$C$8,Settings!$C$7),0))</f>
        <v/>
      </c>
      <c r="P144" s="3">
        <f>IF(G144="","",M144*(Settings!$C$9+Settings!$C$10))</f>
        <v/>
      </c>
      <c r="Q144" s="3">
        <f>IF(G144="","",IF(F144="BUY",M144*Settings!$C$11,0))</f>
        <v/>
      </c>
      <c r="R144" s="3">
        <f>IF(G144="","",N144*Settings!$C$6)</f>
        <v/>
      </c>
      <c r="S144" s="3">
        <f>IF(G144="","",IF(AND(F144="SELL",E144="Equity Delivery"),Settings!$C$13,0))</f>
        <v/>
      </c>
      <c r="T144" s="3">
        <f>IF(G144="","",SUM(N144:S144))</f>
        <v/>
      </c>
      <c r="U144" s="3">
        <f>IF(G144="","",IF(F144="BUY",-(M144+T144),M144-T144))</f>
        <v/>
      </c>
      <c r="V144">
        <f>IF(G144="","",Settings!$C$4+SUM($U$2:U144))</f>
        <v/>
      </c>
    </row>
    <row r="145">
      <c r="A145">
        <f>IF(G145="","",ROW()-1)</f>
        <v/>
      </c>
      <c r="B145" s="8" t="n"/>
      <c r="G145" s="3" t="n"/>
      <c r="H145" s="3" t="n"/>
      <c r="I145" s="3" t="n"/>
      <c r="J145" s="3" t="n"/>
      <c r="K145" s="3" t="n"/>
      <c r="L145" s="3" t="n"/>
      <c r="M145" s="3">
        <f>IF(G145="","",G145*H145)</f>
        <v/>
      </c>
      <c r="N145" s="3">
        <f>IF(G145="","",Settings!$C$5)</f>
        <v/>
      </c>
      <c r="O145" s="3">
        <f>IF(G145="","",IF(F145="SELL",M145*IF(E145="Equity Intraday",Settings!$C$8,Settings!$C$7),0))</f>
        <v/>
      </c>
      <c r="P145" s="3">
        <f>IF(G145="","",M145*(Settings!$C$9+Settings!$C$10))</f>
        <v/>
      </c>
      <c r="Q145" s="3">
        <f>IF(G145="","",IF(F145="BUY",M145*Settings!$C$11,0))</f>
        <v/>
      </c>
      <c r="R145" s="3">
        <f>IF(G145="","",N145*Settings!$C$6)</f>
        <v/>
      </c>
      <c r="S145" s="3">
        <f>IF(G145="","",IF(AND(F145="SELL",E145="Equity Delivery"),Settings!$C$13,0))</f>
        <v/>
      </c>
      <c r="T145" s="3">
        <f>IF(G145="","",SUM(N145:S145))</f>
        <v/>
      </c>
      <c r="U145" s="3">
        <f>IF(G145="","",IF(F145="BUY",-(M145+T145),M145-T145))</f>
        <v/>
      </c>
      <c r="V145">
        <f>IF(G145="","",Settings!$C$4+SUM($U$2:U145))</f>
        <v/>
      </c>
    </row>
    <row r="146">
      <c r="A146">
        <f>IF(G146="","",ROW()-1)</f>
        <v/>
      </c>
      <c r="B146" s="8" t="n"/>
      <c r="G146" s="3" t="n"/>
      <c r="H146" s="3" t="n"/>
      <c r="I146" s="3" t="n"/>
      <c r="J146" s="3" t="n"/>
      <c r="K146" s="3" t="n"/>
      <c r="L146" s="3" t="n"/>
      <c r="M146" s="3">
        <f>IF(G146="","",G146*H146)</f>
        <v/>
      </c>
      <c r="N146" s="3">
        <f>IF(G146="","",Settings!$C$5)</f>
        <v/>
      </c>
      <c r="O146" s="3">
        <f>IF(G146="","",IF(F146="SELL",M146*IF(E146="Equity Intraday",Settings!$C$8,Settings!$C$7),0))</f>
        <v/>
      </c>
      <c r="P146" s="3">
        <f>IF(G146="","",M146*(Settings!$C$9+Settings!$C$10))</f>
        <v/>
      </c>
      <c r="Q146" s="3">
        <f>IF(G146="","",IF(F146="BUY",M146*Settings!$C$11,0))</f>
        <v/>
      </c>
      <c r="R146" s="3">
        <f>IF(G146="","",N146*Settings!$C$6)</f>
        <v/>
      </c>
      <c r="S146" s="3">
        <f>IF(G146="","",IF(AND(F146="SELL",E146="Equity Delivery"),Settings!$C$13,0))</f>
        <v/>
      </c>
      <c r="T146" s="3">
        <f>IF(G146="","",SUM(N146:S146))</f>
        <v/>
      </c>
      <c r="U146" s="3">
        <f>IF(G146="","",IF(F146="BUY",-(M146+T146),M146-T146))</f>
        <v/>
      </c>
      <c r="V146">
        <f>IF(G146="","",Settings!$C$4+SUM($U$2:U146))</f>
        <v/>
      </c>
    </row>
    <row r="147">
      <c r="A147">
        <f>IF(G147="","",ROW()-1)</f>
        <v/>
      </c>
      <c r="B147" s="8" t="n"/>
      <c r="G147" s="3" t="n"/>
      <c r="H147" s="3" t="n"/>
      <c r="I147" s="3" t="n"/>
      <c r="J147" s="3" t="n"/>
      <c r="K147" s="3" t="n"/>
      <c r="L147" s="3" t="n"/>
      <c r="M147" s="3">
        <f>IF(G147="","",G147*H147)</f>
        <v/>
      </c>
      <c r="N147" s="3">
        <f>IF(G147="","",Settings!$C$5)</f>
        <v/>
      </c>
      <c r="O147" s="3">
        <f>IF(G147="","",IF(F147="SELL",M147*IF(E147="Equity Intraday",Settings!$C$8,Settings!$C$7),0))</f>
        <v/>
      </c>
      <c r="P147" s="3">
        <f>IF(G147="","",M147*(Settings!$C$9+Settings!$C$10))</f>
        <v/>
      </c>
      <c r="Q147" s="3">
        <f>IF(G147="","",IF(F147="BUY",M147*Settings!$C$11,0))</f>
        <v/>
      </c>
      <c r="R147" s="3">
        <f>IF(G147="","",N147*Settings!$C$6)</f>
        <v/>
      </c>
      <c r="S147" s="3">
        <f>IF(G147="","",IF(AND(F147="SELL",E147="Equity Delivery"),Settings!$C$13,0))</f>
        <v/>
      </c>
      <c r="T147" s="3">
        <f>IF(G147="","",SUM(N147:S147))</f>
        <v/>
      </c>
      <c r="U147" s="3">
        <f>IF(G147="","",IF(F147="BUY",-(M147+T147),M147-T147))</f>
        <v/>
      </c>
      <c r="V147">
        <f>IF(G147="","",Settings!$C$4+SUM($U$2:U147))</f>
        <v/>
      </c>
    </row>
    <row r="148">
      <c r="A148">
        <f>IF(G148="","",ROW()-1)</f>
        <v/>
      </c>
      <c r="B148" s="8" t="n"/>
      <c r="G148" s="3" t="n"/>
      <c r="H148" s="3" t="n"/>
      <c r="I148" s="3" t="n"/>
      <c r="J148" s="3" t="n"/>
      <c r="K148" s="3" t="n"/>
      <c r="L148" s="3" t="n"/>
      <c r="M148" s="3">
        <f>IF(G148="","",G148*H148)</f>
        <v/>
      </c>
      <c r="N148" s="3">
        <f>IF(G148="","",Settings!$C$5)</f>
        <v/>
      </c>
      <c r="O148" s="3">
        <f>IF(G148="","",IF(F148="SELL",M148*IF(E148="Equity Intraday",Settings!$C$8,Settings!$C$7),0))</f>
        <v/>
      </c>
      <c r="P148" s="3">
        <f>IF(G148="","",M148*(Settings!$C$9+Settings!$C$10))</f>
        <v/>
      </c>
      <c r="Q148" s="3">
        <f>IF(G148="","",IF(F148="BUY",M148*Settings!$C$11,0))</f>
        <v/>
      </c>
      <c r="R148" s="3">
        <f>IF(G148="","",N148*Settings!$C$6)</f>
        <v/>
      </c>
      <c r="S148" s="3">
        <f>IF(G148="","",IF(AND(F148="SELL",E148="Equity Delivery"),Settings!$C$13,0))</f>
        <v/>
      </c>
      <c r="T148" s="3">
        <f>IF(G148="","",SUM(N148:S148))</f>
        <v/>
      </c>
      <c r="U148" s="3">
        <f>IF(G148="","",IF(F148="BUY",-(M148+T148),M148-T148))</f>
        <v/>
      </c>
      <c r="V148">
        <f>IF(G148="","",Settings!$C$4+SUM($U$2:U148))</f>
        <v/>
      </c>
    </row>
    <row r="149">
      <c r="A149">
        <f>IF(G149="","",ROW()-1)</f>
        <v/>
      </c>
      <c r="B149" s="8" t="n"/>
      <c r="G149" s="3" t="n"/>
      <c r="H149" s="3" t="n"/>
      <c r="I149" s="3" t="n"/>
      <c r="J149" s="3" t="n"/>
      <c r="K149" s="3" t="n"/>
      <c r="L149" s="3" t="n"/>
      <c r="M149" s="3">
        <f>IF(G149="","",G149*H149)</f>
        <v/>
      </c>
      <c r="N149" s="3">
        <f>IF(G149="","",Settings!$C$5)</f>
        <v/>
      </c>
      <c r="O149" s="3">
        <f>IF(G149="","",IF(F149="SELL",M149*IF(E149="Equity Intraday",Settings!$C$8,Settings!$C$7),0))</f>
        <v/>
      </c>
      <c r="P149" s="3">
        <f>IF(G149="","",M149*(Settings!$C$9+Settings!$C$10))</f>
        <v/>
      </c>
      <c r="Q149" s="3">
        <f>IF(G149="","",IF(F149="BUY",M149*Settings!$C$11,0))</f>
        <v/>
      </c>
      <c r="R149" s="3">
        <f>IF(G149="","",N149*Settings!$C$6)</f>
        <v/>
      </c>
      <c r="S149" s="3">
        <f>IF(G149="","",IF(AND(F149="SELL",E149="Equity Delivery"),Settings!$C$13,0))</f>
        <v/>
      </c>
      <c r="T149" s="3">
        <f>IF(G149="","",SUM(N149:S149))</f>
        <v/>
      </c>
      <c r="U149" s="3">
        <f>IF(G149="","",IF(F149="BUY",-(M149+T149),M149-T149))</f>
        <v/>
      </c>
      <c r="V149">
        <f>IF(G149="","",Settings!$C$4+SUM($U$2:U149))</f>
        <v/>
      </c>
    </row>
    <row r="150">
      <c r="A150">
        <f>IF(G150="","",ROW()-1)</f>
        <v/>
      </c>
      <c r="B150" s="8" t="n"/>
      <c r="G150" s="3" t="n"/>
      <c r="H150" s="3" t="n"/>
      <c r="I150" s="3" t="n"/>
      <c r="J150" s="3" t="n"/>
      <c r="K150" s="3" t="n"/>
      <c r="L150" s="3" t="n"/>
      <c r="M150" s="3">
        <f>IF(G150="","",G150*H150)</f>
        <v/>
      </c>
      <c r="N150" s="3">
        <f>IF(G150="","",Settings!$C$5)</f>
        <v/>
      </c>
      <c r="O150" s="3">
        <f>IF(G150="","",IF(F150="SELL",M150*IF(E150="Equity Intraday",Settings!$C$8,Settings!$C$7),0))</f>
        <v/>
      </c>
      <c r="P150" s="3">
        <f>IF(G150="","",M150*(Settings!$C$9+Settings!$C$10))</f>
        <v/>
      </c>
      <c r="Q150" s="3">
        <f>IF(G150="","",IF(F150="BUY",M150*Settings!$C$11,0))</f>
        <v/>
      </c>
      <c r="R150" s="3">
        <f>IF(G150="","",N150*Settings!$C$6)</f>
        <v/>
      </c>
      <c r="S150" s="3">
        <f>IF(G150="","",IF(AND(F150="SELL",E150="Equity Delivery"),Settings!$C$13,0))</f>
        <v/>
      </c>
      <c r="T150" s="3">
        <f>IF(G150="","",SUM(N150:S150))</f>
        <v/>
      </c>
      <c r="U150" s="3">
        <f>IF(G150="","",IF(F150="BUY",-(M150+T150),M150-T150))</f>
        <v/>
      </c>
      <c r="V150">
        <f>IF(G150="","",Settings!$C$4+SUM($U$2:U150))</f>
        <v/>
      </c>
    </row>
    <row r="151">
      <c r="A151">
        <f>IF(G151="","",ROW()-1)</f>
        <v/>
      </c>
      <c r="B151" s="8" t="n"/>
      <c r="G151" s="3" t="n"/>
      <c r="H151" s="3" t="n"/>
      <c r="I151" s="3" t="n"/>
      <c r="J151" s="3" t="n"/>
      <c r="K151" s="3" t="n"/>
      <c r="L151" s="3" t="n"/>
      <c r="M151" s="3">
        <f>IF(G151="","",G151*H151)</f>
        <v/>
      </c>
      <c r="N151" s="3">
        <f>IF(G151="","",Settings!$C$5)</f>
        <v/>
      </c>
      <c r="O151" s="3">
        <f>IF(G151="","",IF(F151="SELL",M151*IF(E151="Equity Intraday",Settings!$C$8,Settings!$C$7),0))</f>
        <v/>
      </c>
      <c r="P151" s="3">
        <f>IF(G151="","",M151*(Settings!$C$9+Settings!$C$10))</f>
        <v/>
      </c>
      <c r="Q151" s="3">
        <f>IF(G151="","",IF(F151="BUY",M151*Settings!$C$11,0))</f>
        <v/>
      </c>
      <c r="R151" s="3">
        <f>IF(G151="","",N151*Settings!$C$6)</f>
        <v/>
      </c>
      <c r="S151" s="3">
        <f>IF(G151="","",IF(AND(F151="SELL",E151="Equity Delivery"),Settings!$C$13,0))</f>
        <v/>
      </c>
      <c r="T151" s="3">
        <f>IF(G151="","",SUM(N151:S151))</f>
        <v/>
      </c>
      <c r="U151" s="3">
        <f>IF(G151="","",IF(F151="BUY",-(M151+T151),M151-T151))</f>
        <v/>
      </c>
      <c r="V151">
        <f>IF(G151="","",Settings!$C$4+SUM($U$2:U151))</f>
        <v/>
      </c>
    </row>
    <row r="152">
      <c r="A152">
        <f>IF(G152="","",ROW()-1)</f>
        <v/>
      </c>
      <c r="B152" s="8" t="n"/>
      <c r="G152" s="3" t="n"/>
      <c r="H152" s="3" t="n"/>
      <c r="I152" s="3" t="n"/>
      <c r="J152" s="3" t="n"/>
      <c r="K152" s="3" t="n"/>
      <c r="L152" s="3" t="n"/>
      <c r="M152" s="3">
        <f>IF(G152="","",G152*H152)</f>
        <v/>
      </c>
      <c r="N152" s="3">
        <f>IF(G152="","",Settings!$C$5)</f>
        <v/>
      </c>
      <c r="O152" s="3">
        <f>IF(G152="","",IF(F152="SELL",M152*IF(E152="Equity Intraday",Settings!$C$8,Settings!$C$7),0))</f>
        <v/>
      </c>
      <c r="P152" s="3">
        <f>IF(G152="","",M152*(Settings!$C$9+Settings!$C$10))</f>
        <v/>
      </c>
      <c r="Q152" s="3">
        <f>IF(G152="","",IF(F152="BUY",M152*Settings!$C$11,0))</f>
        <v/>
      </c>
      <c r="R152" s="3">
        <f>IF(G152="","",N152*Settings!$C$6)</f>
        <v/>
      </c>
      <c r="S152" s="3">
        <f>IF(G152="","",IF(AND(F152="SELL",E152="Equity Delivery"),Settings!$C$13,0))</f>
        <v/>
      </c>
      <c r="T152" s="3">
        <f>IF(G152="","",SUM(N152:S152))</f>
        <v/>
      </c>
      <c r="U152" s="3">
        <f>IF(G152="","",IF(F152="BUY",-(M152+T152),M152-T152))</f>
        <v/>
      </c>
      <c r="V152">
        <f>IF(G152="","",Settings!$C$4+SUM($U$2:U152))</f>
        <v/>
      </c>
    </row>
    <row r="153">
      <c r="A153">
        <f>IF(G153="","",ROW()-1)</f>
        <v/>
      </c>
      <c r="B153" s="8" t="n"/>
      <c r="G153" s="3" t="n"/>
      <c r="H153" s="3" t="n"/>
      <c r="I153" s="3" t="n"/>
      <c r="J153" s="3" t="n"/>
      <c r="K153" s="3" t="n"/>
      <c r="L153" s="3" t="n"/>
      <c r="M153" s="3">
        <f>IF(G153="","",G153*H153)</f>
        <v/>
      </c>
      <c r="N153" s="3">
        <f>IF(G153="","",Settings!$C$5)</f>
        <v/>
      </c>
      <c r="O153" s="3">
        <f>IF(G153="","",IF(F153="SELL",M153*IF(E153="Equity Intraday",Settings!$C$8,Settings!$C$7),0))</f>
        <v/>
      </c>
      <c r="P153" s="3">
        <f>IF(G153="","",M153*(Settings!$C$9+Settings!$C$10))</f>
        <v/>
      </c>
      <c r="Q153" s="3">
        <f>IF(G153="","",IF(F153="BUY",M153*Settings!$C$11,0))</f>
        <v/>
      </c>
      <c r="R153" s="3">
        <f>IF(G153="","",N153*Settings!$C$6)</f>
        <v/>
      </c>
      <c r="S153" s="3">
        <f>IF(G153="","",IF(AND(F153="SELL",E153="Equity Delivery"),Settings!$C$13,0))</f>
        <v/>
      </c>
      <c r="T153" s="3">
        <f>IF(G153="","",SUM(N153:S153))</f>
        <v/>
      </c>
      <c r="U153" s="3">
        <f>IF(G153="","",IF(F153="BUY",-(M153+T153),M153-T153))</f>
        <v/>
      </c>
      <c r="V153">
        <f>IF(G153="","",Settings!$C$4+SUM($U$2:U153))</f>
        <v/>
      </c>
    </row>
    <row r="154">
      <c r="A154">
        <f>IF(G154="","",ROW()-1)</f>
        <v/>
      </c>
      <c r="B154" s="8" t="n"/>
      <c r="G154" s="3" t="n"/>
      <c r="H154" s="3" t="n"/>
      <c r="I154" s="3" t="n"/>
      <c r="J154" s="3" t="n"/>
      <c r="K154" s="3" t="n"/>
      <c r="L154" s="3" t="n"/>
      <c r="M154" s="3">
        <f>IF(G154="","",G154*H154)</f>
        <v/>
      </c>
      <c r="N154" s="3">
        <f>IF(G154="","",Settings!$C$5)</f>
        <v/>
      </c>
      <c r="O154" s="3">
        <f>IF(G154="","",IF(F154="SELL",M154*IF(E154="Equity Intraday",Settings!$C$8,Settings!$C$7),0))</f>
        <v/>
      </c>
      <c r="P154" s="3">
        <f>IF(G154="","",M154*(Settings!$C$9+Settings!$C$10))</f>
        <v/>
      </c>
      <c r="Q154" s="3">
        <f>IF(G154="","",IF(F154="BUY",M154*Settings!$C$11,0))</f>
        <v/>
      </c>
      <c r="R154" s="3">
        <f>IF(G154="","",N154*Settings!$C$6)</f>
        <v/>
      </c>
      <c r="S154" s="3">
        <f>IF(G154="","",IF(AND(F154="SELL",E154="Equity Delivery"),Settings!$C$13,0))</f>
        <v/>
      </c>
      <c r="T154" s="3">
        <f>IF(G154="","",SUM(N154:S154))</f>
        <v/>
      </c>
      <c r="U154" s="3">
        <f>IF(G154="","",IF(F154="BUY",-(M154+T154),M154-T154))</f>
        <v/>
      </c>
      <c r="V154">
        <f>IF(G154="","",Settings!$C$4+SUM($U$2:U154))</f>
        <v/>
      </c>
    </row>
    <row r="155">
      <c r="A155">
        <f>IF(G155="","",ROW()-1)</f>
        <v/>
      </c>
      <c r="B155" s="8" t="n"/>
      <c r="G155" s="3" t="n"/>
      <c r="H155" s="3" t="n"/>
      <c r="I155" s="3" t="n"/>
      <c r="J155" s="3" t="n"/>
      <c r="K155" s="3" t="n"/>
      <c r="L155" s="3" t="n"/>
      <c r="M155" s="3">
        <f>IF(G155="","",G155*H155)</f>
        <v/>
      </c>
      <c r="N155" s="3">
        <f>IF(G155="","",Settings!$C$5)</f>
        <v/>
      </c>
      <c r="O155" s="3">
        <f>IF(G155="","",IF(F155="SELL",M155*IF(E155="Equity Intraday",Settings!$C$8,Settings!$C$7),0))</f>
        <v/>
      </c>
      <c r="P155" s="3">
        <f>IF(G155="","",M155*(Settings!$C$9+Settings!$C$10))</f>
        <v/>
      </c>
      <c r="Q155" s="3">
        <f>IF(G155="","",IF(F155="BUY",M155*Settings!$C$11,0))</f>
        <v/>
      </c>
      <c r="R155" s="3">
        <f>IF(G155="","",N155*Settings!$C$6)</f>
        <v/>
      </c>
      <c r="S155" s="3">
        <f>IF(G155="","",IF(AND(F155="SELL",E155="Equity Delivery"),Settings!$C$13,0))</f>
        <v/>
      </c>
      <c r="T155" s="3">
        <f>IF(G155="","",SUM(N155:S155))</f>
        <v/>
      </c>
      <c r="U155" s="3">
        <f>IF(G155="","",IF(F155="BUY",-(M155+T155),M155-T155))</f>
        <v/>
      </c>
      <c r="V155">
        <f>IF(G155="","",Settings!$C$4+SUM($U$2:U155))</f>
        <v/>
      </c>
    </row>
    <row r="156">
      <c r="A156">
        <f>IF(G156="","",ROW()-1)</f>
        <v/>
      </c>
      <c r="B156" s="8" t="n"/>
      <c r="G156" s="3" t="n"/>
      <c r="H156" s="3" t="n"/>
      <c r="I156" s="3" t="n"/>
      <c r="J156" s="3" t="n"/>
      <c r="K156" s="3" t="n"/>
      <c r="L156" s="3" t="n"/>
      <c r="M156" s="3">
        <f>IF(G156="","",G156*H156)</f>
        <v/>
      </c>
      <c r="N156" s="3">
        <f>IF(G156="","",Settings!$C$5)</f>
        <v/>
      </c>
      <c r="O156" s="3">
        <f>IF(G156="","",IF(F156="SELL",M156*IF(E156="Equity Intraday",Settings!$C$8,Settings!$C$7),0))</f>
        <v/>
      </c>
      <c r="P156" s="3">
        <f>IF(G156="","",M156*(Settings!$C$9+Settings!$C$10))</f>
        <v/>
      </c>
      <c r="Q156" s="3">
        <f>IF(G156="","",IF(F156="BUY",M156*Settings!$C$11,0))</f>
        <v/>
      </c>
      <c r="R156" s="3">
        <f>IF(G156="","",N156*Settings!$C$6)</f>
        <v/>
      </c>
      <c r="S156" s="3">
        <f>IF(G156="","",IF(AND(F156="SELL",E156="Equity Delivery"),Settings!$C$13,0))</f>
        <v/>
      </c>
      <c r="T156" s="3">
        <f>IF(G156="","",SUM(N156:S156))</f>
        <v/>
      </c>
      <c r="U156" s="3">
        <f>IF(G156="","",IF(F156="BUY",-(M156+T156),M156-T156))</f>
        <v/>
      </c>
      <c r="V156">
        <f>IF(G156="","",Settings!$C$4+SUM($U$2:U156))</f>
        <v/>
      </c>
    </row>
    <row r="157">
      <c r="A157">
        <f>IF(G157="","",ROW()-1)</f>
        <v/>
      </c>
      <c r="B157" s="8" t="n"/>
      <c r="G157" s="3" t="n"/>
      <c r="H157" s="3" t="n"/>
      <c r="I157" s="3" t="n"/>
      <c r="J157" s="3" t="n"/>
      <c r="K157" s="3" t="n"/>
      <c r="L157" s="3" t="n"/>
      <c r="M157" s="3">
        <f>IF(G157="","",G157*H157)</f>
        <v/>
      </c>
      <c r="N157" s="3">
        <f>IF(G157="","",Settings!$C$5)</f>
        <v/>
      </c>
      <c r="O157" s="3">
        <f>IF(G157="","",IF(F157="SELL",M157*IF(E157="Equity Intraday",Settings!$C$8,Settings!$C$7),0))</f>
        <v/>
      </c>
      <c r="P157" s="3">
        <f>IF(G157="","",M157*(Settings!$C$9+Settings!$C$10))</f>
        <v/>
      </c>
      <c r="Q157" s="3">
        <f>IF(G157="","",IF(F157="BUY",M157*Settings!$C$11,0))</f>
        <v/>
      </c>
      <c r="R157" s="3">
        <f>IF(G157="","",N157*Settings!$C$6)</f>
        <v/>
      </c>
      <c r="S157" s="3">
        <f>IF(G157="","",IF(AND(F157="SELL",E157="Equity Delivery"),Settings!$C$13,0))</f>
        <v/>
      </c>
      <c r="T157" s="3">
        <f>IF(G157="","",SUM(N157:S157))</f>
        <v/>
      </c>
      <c r="U157" s="3">
        <f>IF(G157="","",IF(F157="BUY",-(M157+T157),M157-T157))</f>
        <v/>
      </c>
      <c r="V157">
        <f>IF(G157="","",Settings!$C$4+SUM($U$2:U157))</f>
        <v/>
      </c>
    </row>
    <row r="158">
      <c r="A158">
        <f>IF(G158="","",ROW()-1)</f>
        <v/>
      </c>
      <c r="B158" s="8" t="n"/>
      <c r="G158" s="3" t="n"/>
      <c r="H158" s="3" t="n"/>
      <c r="I158" s="3" t="n"/>
      <c r="J158" s="3" t="n"/>
      <c r="K158" s="3" t="n"/>
      <c r="L158" s="3" t="n"/>
      <c r="M158" s="3">
        <f>IF(G158="","",G158*H158)</f>
        <v/>
      </c>
      <c r="N158" s="3">
        <f>IF(G158="","",Settings!$C$5)</f>
        <v/>
      </c>
      <c r="O158" s="3">
        <f>IF(G158="","",IF(F158="SELL",M158*IF(E158="Equity Intraday",Settings!$C$8,Settings!$C$7),0))</f>
        <v/>
      </c>
      <c r="P158" s="3">
        <f>IF(G158="","",M158*(Settings!$C$9+Settings!$C$10))</f>
        <v/>
      </c>
      <c r="Q158" s="3">
        <f>IF(G158="","",IF(F158="BUY",M158*Settings!$C$11,0))</f>
        <v/>
      </c>
      <c r="R158" s="3">
        <f>IF(G158="","",N158*Settings!$C$6)</f>
        <v/>
      </c>
      <c r="S158" s="3">
        <f>IF(G158="","",IF(AND(F158="SELL",E158="Equity Delivery"),Settings!$C$13,0))</f>
        <v/>
      </c>
      <c r="T158" s="3">
        <f>IF(G158="","",SUM(N158:S158))</f>
        <v/>
      </c>
      <c r="U158" s="3">
        <f>IF(G158="","",IF(F158="BUY",-(M158+T158),M158-T158))</f>
        <v/>
      </c>
      <c r="V158">
        <f>IF(G158="","",Settings!$C$4+SUM($U$2:U158))</f>
        <v/>
      </c>
    </row>
    <row r="159">
      <c r="A159">
        <f>IF(G159="","",ROW()-1)</f>
        <v/>
      </c>
      <c r="B159" s="8" t="n"/>
      <c r="G159" s="3" t="n"/>
      <c r="H159" s="3" t="n"/>
      <c r="I159" s="3" t="n"/>
      <c r="J159" s="3" t="n"/>
      <c r="K159" s="3" t="n"/>
      <c r="L159" s="3" t="n"/>
      <c r="M159" s="3">
        <f>IF(G159="","",G159*H159)</f>
        <v/>
      </c>
      <c r="N159" s="3">
        <f>IF(G159="","",Settings!$C$5)</f>
        <v/>
      </c>
      <c r="O159" s="3">
        <f>IF(G159="","",IF(F159="SELL",M159*IF(E159="Equity Intraday",Settings!$C$8,Settings!$C$7),0))</f>
        <v/>
      </c>
      <c r="P159" s="3">
        <f>IF(G159="","",M159*(Settings!$C$9+Settings!$C$10))</f>
        <v/>
      </c>
      <c r="Q159" s="3">
        <f>IF(G159="","",IF(F159="BUY",M159*Settings!$C$11,0))</f>
        <v/>
      </c>
      <c r="R159" s="3">
        <f>IF(G159="","",N159*Settings!$C$6)</f>
        <v/>
      </c>
      <c r="S159" s="3">
        <f>IF(G159="","",IF(AND(F159="SELL",E159="Equity Delivery"),Settings!$C$13,0))</f>
        <v/>
      </c>
      <c r="T159" s="3">
        <f>IF(G159="","",SUM(N159:S159))</f>
        <v/>
      </c>
      <c r="U159" s="3">
        <f>IF(G159="","",IF(F159="BUY",-(M159+T159),M159-T159))</f>
        <v/>
      </c>
      <c r="V159">
        <f>IF(G159="","",Settings!$C$4+SUM($U$2:U159))</f>
        <v/>
      </c>
    </row>
    <row r="160">
      <c r="A160">
        <f>IF(G160="","",ROW()-1)</f>
        <v/>
      </c>
      <c r="B160" s="8" t="n"/>
      <c r="G160" s="3" t="n"/>
      <c r="H160" s="3" t="n"/>
      <c r="I160" s="3" t="n"/>
      <c r="J160" s="3" t="n"/>
      <c r="K160" s="3" t="n"/>
      <c r="L160" s="3" t="n"/>
      <c r="M160" s="3">
        <f>IF(G160="","",G160*H160)</f>
        <v/>
      </c>
      <c r="N160" s="3">
        <f>IF(G160="","",Settings!$C$5)</f>
        <v/>
      </c>
      <c r="O160" s="3">
        <f>IF(G160="","",IF(F160="SELL",M160*IF(E160="Equity Intraday",Settings!$C$8,Settings!$C$7),0))</f>
        <v/>
      </c>
      <c r="P160" s="3">
        <f>IF(G160="","",M160*(Settings!$C$9+Settings!$C$10))</f>
        <v/>
      </c>
      <c r="Q160" s="3">
        <f>IF(G160="","",IF(F160="BUY",M160*Settings!$C$11,0))</f>
        <v/>
      </c>
      <c r="R160" s="3">
        <f>IF(G160="","",N160*Settings!$C$6)</f>
        <v/>
      </c>
      <c r="S160" s="3">
        <f>IF(G160="","",IF(AND(F160="SELL",E160="Equity Delivery"),Settings!$C$13,0))</f>
        <v/>
      </c>
      <c r="T160" s="3">
        <f>IF(G160="","",SUM(N160:S160))</f>
        <v/>
      </c>
      <c r="U160" s="3">
        <f>IF(G160="","",IF(F160="BUY",-(M160+T160),M160-T160))</f>
        <v/>
      </c>
      <c r="V160">
        <f>IF(G160="","",Settings!$C$4+SUM($U$2:U160))</f>
        <v/>
      </c>
    </row>
    <row r="161">
      <c r="A161">
        <f>IF(G161="","",ROW()-1)</f>
        <v/>
      </c>
      <c r="B161" s="8" t="n"/>
      <c r="G161" s="3" t="n"/>
      <c r="H161" s="3" t="n"/>
      <c r="I161" s="3" t="n"/>
      <c r="J161" s="3" t="n"/>
      <c r="K161" s="3" t="n"/>
      <c r="L161" s="3" t="n"/>
      <c r="M161" s="3">
        <f>IF(G161="","",G161*H161)</f>
        <v/>
      </c>
      <c r="N161" s="3">
        <f>IF(G161="","",Settings!$C$5)</f>
        <v/>
      </c>
      <c r="O161" s="3">
        <f>IF(G161="","",IF(F161="SELL",M161*IF(E161="Equity Intraday",Settings!$C$8,Settings!$C$7),0))</f>
        <v/>
      </c>
      <c r="P161" s="3">
        <f>IF(G161="","",M161*(Settings!$C$9+Settings!$C$10))</f>
        <v/>
      </c>
      <c r="Q161" s="3">
        <f>IF(G161="","",IF(F161="BUY",M161*Settings!$C$11,0))</f>
        <v/>
      </c>
      <c r="R161" s="3">
        <f>IF(G161="","",N161*Settings!$C$6)</f>
        <v/>
      </c>
      <c r="S161" s="3">
        <f>IF(G161="","",IF(AND(F161="SELL",E161="Equity Delivery"),Settings!$C$13,0))</f>
        <v/>
      </c>
      <c r="T161" s="3">
        <f>IF(G161="","",SUM(N161:S161))</f>
        <v/>
      </c>
      <c r="U161" s="3">
        <f>IF(G161="","",IF(F161="BUY",-(M161+T161),M161-T161))</f>
        <v/>
      </c>
      <c r="V161">
        <f>IF(G161="","",Settings!$C$4+SUM($U$2:U161))</f>
        <v/>
      </c>
    </row>
    <row r="162">
      <c r="A162">
        <f>IF(G162="","",ROW()-1)</f>
        <v/>
      </c>
      <c r="B162" s="8" t="n"/>
      <c r="G162" s="3" t="n"/>
      <c r="H162" s="3" t="n"/>
      <c r="I162" s="3" t="n"/>
      <c r="J162" s="3" t="n"/>
      <c r="K162" s="3" t="n"/>
      <c r="L162" s="3" t="n"/>
      <c r="M162" s="3">
        <f>IF(G162="","",G162*H162)</f>
        <v/>
      </c>
      <c r="N162" s="3">
        <f>IF(G162="","",Settings!$C$5)</f>
        <v/>
      </c>
      <c r="O162" s="3">
        <f>IF(G162="","",IF(F162="SELL",M162*IF(E162="Equity Intraday",Settings!$C$8,Settings!$C$7),0))</f>
        <v/>
      </c>
      <c r="P162" s="3">
        <f>IF(G162="","",M162*(Settings!$C$9+Settings!$C$10))</f>
        <v/>
      </c>
      <c r="Q162" s="3">
        <f>IF(G162="","",IF(F162="BUY",M162*Settings!$C$11,0))</f>
        <v/>
      </c>
      <c r="R162" s="3">
        <f>IF(G162="","",N162*Settings!$C$6)</f>
        <v/>
      </c>
      <c r="S162" s="3">
        <f>IF(G162="","",IF(AND(F162="SELL",E162="Equity Delivery"),Settings!$C$13,0))</f>
        <v/>
      </c>
      <c r="T162" s="3">
        <f>IF(G162="","",SUM(N162:S162))</f>
        <v/>
      </c>
      <c r="U162" s="3">
        <f>IF(G162="","",IF(F162="BUY",-(M162+T162),M162-T162))</f>
        <v/>
      </c>
      <c r="V162">
        <f>IF(G162="","",Settings!$C$4+SUM($U$2:U162))</f>
        <v/>
      </c>
    </row>
    <row r="163">
      <c r="A163">
        <f>IF(G163="","",ROW()-1)</f>
        <v/>
      </c>
      <c r="B163" s="8" t="n"/>
      <c r="G163" s="3" t="n"/>
      <c r="H163" s="3" t="n"/>
      <c r="I163" s="3" t="n"/>
      <c r="J163" s="3" t="n"/>
      <c r="K163" s="3" t="n"/>
      <c r="L163" s="3" t="n"/>
      <c r="M163" s="3">
        <f>IF(G163="","",G163*H163)</f>
        <v/>
      </c>
      <c r="N163" s="3">
        <f>IF(G163="","",Settings!$C$5)</f>
        <v/>
      </c>
      <c r="O163" s="3">
        <f>IF(G163="","",IF(F163="SELL",M163*IF(E163="Equity Intraday",Settings!$C$8,Settings!$C$7),0))</f>
        <v/>
      </c>
      <c r="P163" s="3">
        <f>IF(G163="","",M163*(Settings!$C$9+Settings!$C$10))</f>
        <v/>
      </c>
      <c r="Q163" s="3">
        <f>IF(G163="","",IF(F163="BUY",M163*Settings!$C$11,0))</f>
        <v/>
      </c>
      <c r="R163" s="3">
        <f>IF(G163="","",N163*Settings!$C$6)</f>
        <v/>
      </c>
      <c r="S163" s="3">
        <f>IF(G163="","",IF(AND(F163="SELL",E163="Equity Delivery"),Settings!$C$13,0))</f>
        <v/>
      </c>
      <c r="T163" s="3">
        <f>IF(G163="","",SUM(N163:S163))</f>
        <v/>
      </c>
      <c r="U163" s="3">
        <f>IF(G163="","",IF(F163="BUY",-(M163+T163),M163-T163))</f>
        <v/>
      </c>
      <c r="V163">
        <f>IF(G163="","",Settings!$C$4+SUM($U$2:U163))</f>
        <v/>
      </c>
    </row>
    <row r="164">
      <c r="A164">
        <f>IF(G164="","",ROW()-1)</f>
        <v/>
      </c>
      <c r="B164" s="8" t="n"/>
      <c r="G164" s="3" t="n"/>
      <c r="H164" s="3" t="n"/>
      <c r="I164" s="3" t="n"/>
      <c r="J164" s="3" t="n"/>
      <c r="K164" s="3" t="n"/>
      <c r="L164" s="3" t="n"/>
      <c r="M164" s="3">
        <f>IF(G164="","",G164*H164)</f>
        <v/>
      </c>
      <c r="N164" s="3">
        <f>IF(G164="","",Settings!$C$5)</f>
        <v/>
      </c>
      <c r="O164" s="3">
        <f>IF(G164="","",IF(F164="SELL",M164*IF(E164="Equity Intraday",Settings!$C$8,Settings!$C$7),0))</f>
        <v/>
      </c>
      <c r="P164" s="3">
        <f>IF(G164="","",M164*(Settings!$C$9+Settings!$C$10))</f>
        <v/>
      </c>
      <c r="Q164" s="3">
        <f>IF(G164="","",IF(F164="BUY",M164*Settings!$C$11,0))</f>
        <v/>
      </c>
      <c r="R164" s="3">
        <f>IF(G164="","",N164*Settings!$C$6)</f>
        <v/>
      </c>
      <c r="S164" s="3">
        <f>IF(G164="","",IF(AND(F164="SELL",E164="Equity Delivery"),Settings!$C$13,0))</f>
        <v/>
      </c>
      <c r="T164" s="3">
        <f>IF(G164="","",SUM(N164:S164))</f>
        <v/>
      </c>
      <c r="U164" s="3">
        <f>IF(G164="","",IF(F164="BUY",-(M164+T164),M164-T164))</f>
        <v/>
      </c>
      <c r="V164">
        <f>IF(G164="","",Settings!$C$4+SUM($U$2:U164))</f>
        <v/>
      </c>
    </row>
    <row r="165">
      <c r="A165">
        <f>IF(G165="","",ROW()-1)</f>
        <v/>
      </c>
      <c r="B165" s="8" t="n"/>
      <c r="G165" s="3" t="n"/>
      <c r="H165" s="3" t="n"/>
      <c r="I165" s="3" t="n"/>
      <c r="J165" s="3" t="n"/>
      <c r="K165" s="3" t="n"/>
      <c r="L165" s="3" t="n"/>
      <c r="M165" s="3">
        <f>IF(G165="","",G165*H165)</f>
        <v/>
      </c>
      <c r="N165" s="3">
        <f>IF(G165="","",Settings!$C$5)</f>
        <v/>
      </c>
      <c r="O165" s="3">
        <f>IF(G165="","",IF(F165="SELL",M165*IF(E165="Equity Intraday",Settings!$C$8,Settings!$C$7),0))</f>
        <v/>
      </c>
      <c r="P165" s="3">
        <f>IF(G165="","",M165*(Settings!$C$9+Settings!$C$10))</f>
        <v/>
      </c>
      <c r="Q165" s="3">
        <f>IF(G165="","",IF(F165="BUY",M165*Settings!$C$11,0))</f>
        <v/>
      </c>
      <c r="R165" s="3">
        <f>IF(G165="","",N165*Settings!$C$6)</f>
        <v/>
      </c>
      <c r="S165" s="3">
        <f>IF(G165="","",IF(AND(F165="SELL",E165="Equity Delivery"),Settings!$C$13,0))</f>
        <v/>
      </c>
      <c r="T165" s="3">
        <f>IF(G165="","",SUM(N165:S165))</f>
        <v/>
      </c>
      <c r="U165" s="3">
        <f>IF(G165="","",IF(F165="BUY",-(M165+T165),M165-T165))</f>
        <v/>
      </c>
      <c r="V165">
        <f>IF(G165="","",Settings!$C$4+SUM($U$2:U165))</f>
        <v/>
      </c>
    </row>
    <row r="166">
      <c r="A166">
        <f>IF(G166="","",ROW()-1)</f>
        <v/>
      </c>
      <c r="B166" s="8" t="n"/>
      <c r="G166" s="3" t="n"/>
      <c r="H166" s="3" t="n"/>
      <c r="I166" s="3" t="n"/>
      <c r="J166" s="3" t="n"/>
      <c r="K166" s="3" t="n"/>
      <c r="L166" s="3" t="n"/>
      <c r="M166" s="3">
        <f>IF(G166="","",G166*H166)</f>
        <v/>
      </c>
      <c r="N166" s="3">
        <f>IF(G166="","",Settings!$C$5)</f>
        <v/>
      </c>
      <c r="O166" s="3">
        <f>IF(G166="","",IF(F166="SELL",M166*IF(E166="Equity Intraday",Settings!$C$8,Settings!$C$7),0))</f>
        <v/>
      </c>
      <c r="P166" s="3">
        <f>IF(G166="","",M166*(Settings!$C$9+Settings!$C$10))</f>
        <v/>
      </c>
      <c r="Q166" s="3">
        <f>IF(G166="","",IF(F166="BUY",M166*Settings!$C$11,0))</f>
        <v/>
      </c>
      <c r="R166" s="3">
        <f>IF(G166="","",N166*Settings!$C$6)</f>
        <v/>
      </c>
      <c r="S166" s="3">
        <f>IF(G166="","",IF(AND(F166="SELL",E166="Equity Delivery"),Settings!$C$13,0))</f>
        <v/>
      </c>
      <c r="T166" s="3">
        <f>IF(G166="","",SUM(N166:S166))</f>
        <v/>
      </c>
      <c r="U166" s="3">
        <f>IF(G166="","",IF(F166="BUY",-(M166+T166),M166-T166))</f>
        <v/>
      </c>
      <c r="V166">
        <f>IF(G166="","",Settings!$C$4+SUM($U$2:U166))</f>
        <v/>
      </c>
    </row>
    <row r="167">
      <c r="A167">
        <f>IF(G167="","",ROW()-1)</f>
        <v/>
      </c>
      <c r="B167" s="8" t="n"/>
      <c r="G167" s="3" t="n"/>
      <c r="H167" s="3" t="n"/>
      <c r="I167" s="3" t="n"/>
      <c r="J167" s="3" t="n"/>
      <c r="K167" s="3" t="n"/>
      <c r="L167" s="3" t="n"/>
      <c r="M167" s="3">
        <f>IF(G167="","",G167*H167)</f>
        <v/>
      </c>
      <c r="N167" s="3">
        <f>IF(G167="","",Settings!$C$5)</f>
        <v/>
      </c>
      <c r="O167" s="3">
        <f>IF(G167="","",IF(F167="SELL",M167*IF(E167="Equity Intraday",Settings!$C$8,Settings!$C$7),0))</f>
        <v/>
      </c>
      <c r="P167" s="3">
        <f>IF(G167="","",M167*(Settings!$C$9+Settings!$C$10))</f>
        <v/>
      </c>
      <c r="Q167" s="3">
        <f>IF(G167="","",IF(F167="BUY",M167*Settings!$C$11,0))</f>
        <v/>
      </c>
      <c r="R167" s="3">
        <f>IF(G167="","",N167*Settings!$C$6)</f>
        <v/>
      </c>
      <c r="S167" s="3">
        <f>IF(G167="","",IF(AND(F167="SELL",E167="Equity Delivery"),Settings!$C$13,0))</f>
        <v/>
      </c>
      <c r="T167" s="3">
        <f>IF(G167="","",SUM(N167:S167))</f>
        <v/>
      </c>
      <c r="U167" s="3">
        <f>IF(G167="","",IF(F167="BUY",-(M167+T167),M167-T167))</f>
        <v/>
      </c>
      <c r="V167">
        <f>IF(G167="","",Settings!$C$4+SUM($U$2:U167))</f>
        <v/>
      </c>
    </row>
    <row r="168">
      <c r="A168">
        <f>IF(G168="","",ROW()-1)</f>
        <v/>
      </c>
      <c r="B168" s="8" t="n"/>
      <c r="G168" s="3" t="n"/>
      <c r="H168" s="3" t="n"/>
      <c r="I168" s="3" t="n"/>
      <c r="J168" s="3" t="n"/>
      <c r="K168" s="3" t="n"/>
      <c r="L168" s="3" t="n"/>
      <c r="M168" s="3">
        <f>IF(G168="","",G168*H168)</f>
        <v/>
      </c>
      <c r="N168" s="3">
        <f>IF(G168="","",Settings!$C$5)</f>
        <v/>
      </c>
      <c r="O168" s="3">
        <f>IF(G168="","",IF(F168="SELL",M168*IF(E168="Equity Intraday",Settings!$C$8,Settings!$C$7),0))</f>
        <v/>
      </c>
      <c r="P168" s="3">
        <f>IF(G168="","",M168*(Settings!$C$9+Settings!$C$10))</f>
        <v/>
      </c>
      <c r="Q168" s="3">
        <f>IF(G168="","",IF(F168="BUY",M168*Settings!$C$11,0))</f>
        <v/>
      </c>
      <c r="R168" s="3">
        <f>IF(G168="","",N168*Settings!$C$6)</f>
        <v/>
      </c>
      <c r="S168" s="3">
        <f>IF(G168="","",IF(AND(F168="SELL",E168="Equity Delivery"),Settings!$C$13,0))</f>
        <v/>
      </c>
      <c r="T168" s="3">
        <f>IF(G168="","",SUM(N168:S168))</f>
        <v/>
      </c>
      <c r="U168" s="3">
        <f>IF(G168="","",IF(F168="BUY",-(M168+T168),M168-T168))</f>
        <v/>
      </c>
      <c r="V168">
        <f>IF(G168="","",Settings!$C$4+SUM($U$2:U168))</f>
        <v/>
      </c>
    </row>
    <row r="169">
      <c r="A169">
        <f>IF(G169="","",ROW()-1)</f>
        <v/>
      </c>
      <c r="B169" s="8" t="n"/>
      <c r="G169" s="3" t="n"/>
      <c r="H169" s="3" t="n"/>
      <c r="I169" s="3" t="n"/>
      <c r="J169" s="3" t="n"/>
      <c r="K169" s="3" t="n"/>
      <c r="L169" s="3" t="n"/>
      <c r="M169" s="3">
        <f>IF(G169="","",G169*H169)</f>
        <v/>
      </c>
      <c r="N169" s="3">
        <f>IF(G169="","",Settings!$C$5)</f>
        <v/>
      </c>
      <c r="O169" s="3">
        <f>IF(G169="","",IF(F169="SELL",M169*IF(E169="Equity Intraday",Settings!$C$8,Settings!$C$7),0))</f>
        <v/>
      </c>
      <c r="P169" s="3">
        <f>IF(G169="","",M169*(Settings!$C$9+Settings!$C$10))</f>
        <v/>
      </c>
      <c r="Q169" s="3">
        <f>IF(G169="","",IF(F169="BUY",M169*Settings!$C$11,0))</f>
        <v/>
      </c>
      <c r="R169" s="3">
        <f>IF(G169="","",N169*Settings!$C$6)</f>
        <v/>
      </c>
      <c r="S169" s="3">
        <f>IF(G169="","",IF(AND(F169="SELL",E169="Equity Delivery"),Settings!$C$13,0))</f>
        <v/>
      </c>
      <c r="T169" s="3">
        <f>IF(G169="","",SUM(N169:S169))</f>
        <v/>
      </c>
      <c r="U169" s="3">
        <f>IF(G169="","",IF(F169="BUY",-(M169+T169),M169-T169))</f>
        <v/>
      </c>
      <c r="V169">
        <f>IF(G169="","",Settings!$C$4+SUM($U$2:U169))</f>
        <v/>
      </c>
    </row>
    <row r="170">
      <c r="A170">
        <f>IF(G170="","",ROW()-1)</f>
        <v/>
      </c>
      <c r="B170" s="8" t="n"/>
      <c r="G170" s="3" t="n"/>
      <c r="H170" s="3" t="n"/>
      <c r="I170" s="3" t="n"/>
      <c r="J170" s="3" t="n"/>
      <c r="K170" s="3" t="n"/>
      <c r="L170" s="3" t="n"/>
      <c r="M170" s="3">
        <f>IF(G170="","",G170*H170)</f>
        <v/>
      </c>
      <c r="N170" s="3">
        <f>IF(G170="","",Settings!$C$5)</f>
        <v/>
      </c>
      <c r="O170" s="3">
        <f>IF(G170="","",IF(F170="SELL",M170*IF(E170="Equity Intraday",Settings!$C$8,Settings!$C$7),0))</f>
        <v/>
      </c>
      <c r="P170" s="3">
        <f>IF(G170="","",M170*(Settings!$C$9+Settings!$C$10))</f>
        <v/>
      </c>
      <c r="Q170" s="3">
        <f>IF(G170="","",IF(F170="BUY",M170*Settings!$C$11,0))</f>
        <v/>
      </c>
      <c r="R170" s="3">
        <f>IF(G170="","",N170*Settings!$C$6)</f>
        <v/>
      </c>
      <c r="S170" s="3">
        <f>IF(G170="","",IF(AND(F170="SELL",E170="Equity Delivery"),Settings!$C$13,0))</f>
        <v/>
      </c>
      <c r="T170" s="3">
        <f>IF(G170="","",SUM(N170:S170))</f>
        <v/>
      </c>
      <c r="U170" s="3">
        <f>IF(G170="","",IF(F170="BUY",-(M170+T170),M170-T170))</f>
        <v/>
      </c>
      <c r="V170">
        <f>IF(G170="","",Settings!$C$4+SUM($U$2:U170))</f>
        <v/>
      </c>
    </row>
    <row r="171">
      <c r="A171">
        <f>IF(G171="","",ROW()-1)</f>
        <v/>
      </c>
      <c r="B171" s="8" t="n"/>
      <c r="G171" s="3" t="n"/>
      <c r="H171" s="3" t="n"/>
      <c r="I171" s="3" t="n"/>
      <c r="J171" s="3" t="n"/>
      <c r="K171" s="3" t="n"/>
      <c r="L171" s="3" t="n"/>
      <c r="M171" s="3">
        <f>IF(G171="","",G171*H171)</f>
        <v/>
      </c>
      <c r="N171" s="3">
        <f>IF(G171="","",Settings!$C$5)</f>
        <v/>
      </c>
      <c r="O171" s="3">
        <f>IF(G171="","",IF(F171="SELL",M171*IF(E171="Equity Intraday",Settings!$C$8,Settings!$C$7),0))</f>
        <v/>
      </c>
      <c r="P171" s="3">
        <f>IF(G171="","",M171*(Settings!$C$9+Settings!$C$10))</f>
        <v/>
      </c>
      <c r="Q171" s="3">
        <f>IF(G171="","",IF(F171="BUY",M171*Settings!$C$11,0))</f>
        <v/>
      </c>
      <c r="R171" s="3">
        <f>IF(G171="","",N171*Settings!$C$6)</f>
        <v/>
      </c>
      <c r="S171" s="3">
        <f>IF(G171="","",IF(AND(F171="SELL",E171="Equity Delivery"),Settings!$C$13,0))</f>
        <v/>
      </c>
      <c r="T171" s="3">
        <f>IF(G171="","",SUM(N171:S171))</f>
        <v/>
      </c>
      <c r="U171" s="3">
        <f>IF(G171="","",IF(F171="BUY",-(M171+T171),M171-T171))</f>
        <v/>
      </c>
      <c r="V171">
        <f>IF(G171="","",Settings!$C$4+SUM($U$2:U171))</f>
        <v/>
      </c>
    </row>
    <row r="172">
      <c r="A172">
        <f>IF(G172="","",ROW()-1)</f>
        <v/>
      </c>
      <c r="B172" s="8" t="n"/>
      <c r="G172" s="3" t="n"/>
      <c r="H172" s="3" t="n"/>
      <c r="I172" s="3" t="n"/>
      <c r="J172" s="3" t="n"/>
      <c r="K172" s="3" t="n"/>
      <c r="L172" s="3" t="n"/>
      <c r="M172" s="3">
        <f>IF(G172="","",G172*H172)</f>
        <v/>
      </c>
      <c r="N172" s="3">
        <f>IF(G172="","",Settings!$C$5)</f>
        <v/>
      </c>
      <c r="O172" s="3">
        <f>IF(G172="","",IF(F172="SELL",M172*IF(E172="Equity Intraday",Settings!$C$8,Settings!$C$7),0))</f>
        <v/>
      </c>
      <c r="P172" s="3">
        <f>IF(G172="","",M172*(Settings!$C$9+Settings!$C$10))</f>
        <v/>
      </c>
      <c r="Q172" s="3">
        <f>IF(G172="","",IF(F172="BUY",M172*Settings!$C$11,0))</f>
        <v/>
      </c>
      <c r="R172" s="3">
        <f>IF(G172="","",N172*Settings!$C$6)</f>
        <v/>
      </c>
      <c r="S172" s="3">
        <f>IF(G172="","",IF(AND(F172="SELL",E172="Equity Delivery"),Settings!$C$13,0))</f>
        <v/>
      </c>
      <c r="T172" s="3">
        <f>IF(G172="","",SUM(N172:S172))</f>
        <v/>
      </c>
      <c r="U172" s="3">
        <f>IF(G172="","",IF(F172="BUY",-(M172+T172),M172-T172))</f>
        <v/>
      </c>
      <c r="V172">
        <f>IF(G172="","",Settings!$C$4+SUM($U$2:U172))</f>
        <v/>
      </c>
    </row>
    <row r="173">
      <c r="A173">
        <f>IF(G173="","",ROW()-1)</f>
        <v/>
      </c>
      <c r="B173" s="8" t="n"/>
      <c r="G173" s="3" t="n"/>
      <c r="H173" s="3" t="n"/>
      <c r="I173" s="3" t="n"/>
      <c r="J173" s="3" t="n"/>
      <c r="K173" s="3" t="n"/>
      <c r="L173" s="3" t="n"/>
      <c r="M173" s="3">
        <f>IF(G173="","",G173*H173)</f>
        <v/>
      </c>
      <c r="N173" s="3">
        <f>IF(G173="","",Settings!$C$5)</f>
        <v/>
      </c>
      <c r="O173" s="3">
        <f>IF(G173="","",IF(F173="SELL",M173*IF(E173="Equity Intraday",Settings!$C$8,Settings!$C$7),0))</f>
        <v/>
      </c>
      <c r="P173" s="3">
        <f>IF(G173="","",M173*(Settings!$C$9+Settings!$C$10))</f>
        <v/>
      </c>
      <c r="Q173" s="3">
        <f>IF(G173="","",IF(F173="BUY",M173*Settings!$C$11,0))</f>
        <v/>
      </c>
      <c r="R173" s="3">
        <f>IF(G173="","",N173*Settings!$C$6)</f>
        <v/>
      </c>
      <c r="S173" s="3">
        <f>IF(G173="","",IF(AND(F173="SELL",E173="Equity Delivery"),Settings!$C$13,0))</f>
        <v/>
      </c>
      <c r="T173" s="3">
        <f>IF(G173="","",SUM(N173:S173))</f>
        <v/>
      </c>
      <c r="U173" s="3">
        <f>IF(G173="","",IF(F173="BUY",-(M173+T173),M173-T173))</f>
        <v/>
      </c>
      <c r="V173">
        <f>IF(G173="","",Settings!$C$4+SUM($U$2:U173))</f>
        <v/>
      </c>
    </row>
    <row r="174">
      <c r="A174">
        <f>IF(G174="","",ROW()-1)</f>
        <v/>
      </c>
      <c r="B174" s="8" t="n"/>
      <c r="G174" s="3" t="n"/>
      <c r="H174" s="3" t="n"/>
      <c r="I174" s="3" t="n"/>
      <c r="J174" s="3" t="n"/>
      <c r="K174" s="3" t="n"/>
      <c r="L174" s="3" t="n"/>
      <c r="M174" s="3">
        <f>IF(G174="","",G174*H174)</f>
        <v/>
      </c>
      <c r="N174" s="3">
        <f>IF(G174="","",Settings!$C$5)</f>
        <v/>
      </c>
      <c r="O174" s="3">
        <f>IF(G174="","",IF(F174="SELL",M174*IF(E174="Equity Intraday",Settings!$C$8,Settings!$C$7),0))</f>
        <v/>
      </c>
      <c r="P174" s="3">
        <f>IF(G174="","",M174*(Settings!$C$9+Settings!$C$10))</f>
        <v/>
      </c>
      <c r="Q174" s="3">
        <f>IF(G174="","",IF(F174="BUY",M174*Settings!$C$11,0))</f>
        <v/>
      </c>
      <c r="R174" s="3">
        <f>IF(G174="","",N174*Settings!$C$6)</f>
        <v/>
      </c>
      <c r="S174" s="3">
        <f>IF(G174="","",IF(AND(F174="SELL",E174="Equity Delivery"),Settings!$C$13,0))</f>
        <v/>
      </c>
      <c r="T174" s="3">
        <f>IF(G174="","",SUM(N174:S174))</f>
        <v/>
      </c>
      <c r="U174" s="3">
        <f>IF(G174="","",IF(F174="BUY",-(M174+T174),M174-T174))</f>
        <v/>
      </c>
      <c r="V174">
        <f>IF(G174="","",Settings!$C$4+SUM($U$2:U174))</f>
        <v/>
      </c>
    </row>
    <row r="175">
      <c r="A175">
        <f>IF(G175="","",ROW()-1)</f>
        <v/>
      </c>
      <c r="B175" s="8" t="n"/>
      <c r="G175" s="3" t="n"/>
      <c r="H175" s="3" t="n"/>
      <c r="I175" s="3" t="n"/>
      <c r="J175" s="3" t="n"/>
      <c r="K175" s="3" t="n"/>
      <c r="L175" s="3" t="n"/>
      <c r="M175" s="3">
        <f>IF(G175="","",G175*H175)</f>
        <v/>
      </c>
      <c r="N175" s="3">
        <f>IF(G175="","",Settings!$C$5)</f>
        <v/>
      </c>
      <c r="O175" s="3">
        <f>IF(G175="","",IF(F175="SELL",M175*IF(E175="Equity Intraday",Settings!$C$8,Settings!$C$7),0))</f>
        <v/>
      </c>
      <c r="P175" s="3">
        <f>IF(G175="","",M175*(Settings!$C$9+Settings!$C$10))</f>
        <v/>
      </c>
      <c r="Q175" s="3">
        <f>IF(G175="","",IF(F175="BUY",M175*Settings!$C$11,0))</f>
        <v/>
      </c>
      <c r="R175" s="3">
        <f>IF(G175="","",N175*Settings!$C$6)</f>
        <v/>
      </c>
      <c r="S175" s="3">
        <f>IF(G175="","",IF(AND(F175="SELL",E175="Equity Delivery"),Settings!$C$13,0))</f>
        <v/>
      </c>
      <c r="T175" s="3">
        <f>IF(G175="","",SUM(N175:S175))</f>
        <v/>
      </c>
      <c r="U175" s="3">
        <f>IF(G175="","",IF(F175="BUY",-(M175+T175),M175-T175))</f>
        <v/>
      </c>
      <c r="V175">
        <f>IF(G175="","",Settings!$C$4+SUM($U$2:U175))</f>
        <v/>
      </c>
    </row>
    <row r="176">
      <c r="A176">
        <f>IF(G176="","",ROW()-1)</f>
        <v/>
      </c>
      <c r="B176" s="8" t="n"/>
      <c r="G176" s="3" t="n"/>
      <c r="H176" s="3" t="n"/>
      <c r="I176" s="3" t="n"/>
      <c r="J176" s="3" t="n"/>
      <c r="K176" s="3" t="n"/>
      <c r="L176" s="3" t="n"/>
      <c r="M176" s="3">
        <f>IF(G176="","",G176*H176)</f>
        <v/>
      </c>
      <c r="N176" s="3">
        <f>IF(G176="","",Settings!$C$5)</f>
        <v/>
      </c>
      <c r="O176" s="3">
        <f>IF(G176="","",IF(F176="SELL",M176*IF(E176="Equity Intraday",Settings!$C$8,Settings!$C$7),0))</f>
        <v/>
      </c>
      <c r="P176" s="3">
        <f>IF(G176="","",M176*(Settings!$C$9+Settings!$C$10))</f>
        <v/>
      </c>
      <c r="Q176" s="3">
        <f>IF(G176="","",IF(F176="BUY",M176*Settings!$C$11,0))</f>
        <v/>
      </c>
      <c r="R176" s="3">
        <f>IF(G176="","",N176*Settings!$C$6)</f>
        <v/>
      </c>
      <c r="S176" s="3">
        <f>IF(G176="","",IF(AND(F176="SELL",E176="Equity Delivery"),Settings!$C$13,0))</f>
        <v/>
      </c>
      <c r="T176" s="3">
        <f>IF(G176="","",SUM(N176:S176))</f>
        <v/>
      </c>
      <c r="U176" s="3">
        <f>IF(G176="","",IF(F176="BUY",-(M176+T176),M176-T176))</f>
        <v/>
      </c>
      <c r="V176">
        <f>IF(G176="","",Settings!$C$4+SUM($U$2:U176))</f>
        <v/>
      </c>
    </row>
    <row r="177">
      <c r="A177">
        <f>IF(G177="","",ROW()-1)</f>
        <v/>
      </c>
      <c r="B177" s="8" t="n"/>
      <c r="G177" s="3" t="n"/>
      <c r="H177" s="3" t="n"/>
      <c r="I177" s="3" t="n"/>
      <c r="J177" s="3" t="n"/>
      <c r="K177" s="3" t="n"/>
      <c r="L177" s="3" t="n"/>
      <c r="M177" s="3">
        <f>IF(G177="","",G177*H177)</f>
        <v/>
      </c>
      <c r="N177" s="3">
        <f>IF(G177="","",Settings!$C$5)</f>
        <v/>
      </c>
      <c r="O177" s="3">
        <f>IF(G177="","",IF(F177="SELL",M177*IF(E177="Equity Intraday",Settings!$C$8,Settings!$C$7),0))</f>
        <v/>
      </c>
      <c r="P177" s="3">
        <f>IF(G177="","",M177*(Settings!$C$9+Settings!$C$10))</f>
        <v/>
      </c>
      <c r="Q177" s="3">
        <f>IF(G177="","",IF(F177="BUY",M177*Settings!$C$11,0))</f>
        <v/>
      </c>
      <c r="R177" s="3">
        <f>IF(G177="","",N177*Settings!$C$6)</f>
        <v/>
      </c>
      <c r="S177" s="3">
        <f>IF(G177="","",IF(AND(F177="SELL",E177="Equity Delivery"),Settings!$C$13,0))</f>
        <v/>
      </c>
      <c r="T177" s="3">
        <f>IF(G177="","",SUM(N177:S177))</f>
        <v/>
      </c>
      <c r="U177" s="3">
        <f>IF(G177="","",IF(F177="BUY",-(M177+T177),M177-T177))</f>
        <v/>
      </c>
      <c r="V177">
        <f>IF(G177="","",Settings!$C$4+SUM($U$2:U177))</f>
        <v/>
      </c>
    </row>
    <row r="178">
      <c r="A178">
        <f>IF(G178="","",ROW()-1)</f>
        <v/>
      </c>
      <c r="B178" s="8" t="n"/>
      <c r="G178" s="3" t="n"/>
      <c r="H178" s="3" t="n"/>
      <c r="I178" s="3" t="n"/>
      <c r="J178" s="3" t="n"/>
      <c r="K178" s="3" t="n"/>
      <c r="L178" s="3" t="n"/>
      <c r="M178" s="3">
        <f>IF(G178="","",G178*H178)</f>
        <v/>
      </c>
      <c r="N178" s="3">
        <f>IF(G178="","",Settings!$C$5)</f>
        <v/>
      </c>
      <c r="O178" s="3">
        <f>IF(G178="","",IF(F178="SELL",M178*IF(E178="Equity Intraday",Settings!$C$8,Settings!$C$7),0))</f>
        <v/>
      </c>
      <c r="P178" s="3">
        <f>IF(G178="","",M178*(Settings!$C$9+Settings!$C$10))</f>
        <v/>
      </c>
      <c r="Q178" s="3">
        <f>IF(G178="","",IF(F178="BUY",M178*Settings!$C$11,0))</f>
        <v/>
      </c>
      <c r="R178" s="3">
        <f>IF(G178="","",N178*Settings!$C$6)</f>
        <v/>
      </c>
      <c r="S178" s="3">
        <f>IF(G178="","",IF(AND(F178="SELL",E178="Equity Delivery"),Settings!$C$13,0))</f>
        <v/>
      </c>
      <c r="T178" s="3">
        <f>IF(G178="","",SUM(N178:S178))</f>
        <v/>
      </c>
      <c r="U178" s="3">
        <f>IF(G178="","",IF(F178="BUY",-(M178+T178),M178-T178))</f>
        <v/>
      </c>
      <c r="V178">
        <f>IF(G178="","",Settings!$C$4+SUM($U$2:U178))</f>
        <v/>
      </c>
    </row>
    <row r="179">
      <c r="A179">
        <f>IF(G179="","",ROW()-1)</f>
        <v/>
      </c>
      <c r="B179" s="8" t="n"/>
      <c r="G179" s="3" t="n"/>
      <c r="H179" s="3" t="n"/>
      <c r="I179" s="3" t="n"/>
      <c r="J179" s="3" t="n"/>
      <c r="K179" s="3" t="n"/>
      <c r="L179" s="3" t="n"/>
      <c r="M179" s="3">
        <f>IF(G179="","",G179*H179)</f>
        <v/>
      </c>
      <c r="N179" s="3">
        <f>IF(G179="","",Settings!$C$5)</f>
        <v/>
      </c>
      <c r="O179" s="3">
        <f>IF(G179="","",IF(F179="SELL",M179*IF(E179="Equity Intraday",Settings!$C$8,Settings!$C$7),0))</f>
        <v/>
      </c>
      <c r="P179" s="3">
        <f>IF(G179="","",M179*(Settings!$C$9+Settings!$C$10))</f>
        <v/>
      </c>
      <c r="Q179" s="3">
        <f>IF(G179="","",IF(F179="BUY",M179*Settings!$C$11,0))</f>
        <v/>
      </c>
      <c r="R179" s="3">
        <f>IF(G179="","",N179*Settings!$C$6)</f>
        <v/>
      </c>
      <c r="S179" s="3">
        <f>IF(G179="","",IF(AND(F179="SELL",E179="Equity Delivery"),Settings!$C$13,0))</f>
        <v/>
      </c>
      <c r="T179" s="3">
        <f>IF(G179="","",SUM(N179:S179))</f>
        <v/>
      </c>
      <c r="U179" s="3">
        <f>IF(G179="","",IF(F179="BUY",-(M179+T179),M179-T179))</f>
        <v/>
      </c>
      <c r="V179">
        <f>IF(G179="","",Settings!$C$4+SUM($U$2:U179))</f>
        <v/>
      </c>
    </row>
    <row r="180">
      <c r="A180">
        <f>IF(G180="","",ROW()-1)</f>
        <v/>
      </c>
      <c r="B180" s="8" t="n"/>
      <c r="G180" s="3" t="n"/>
      <c r="H180" s="3" t="n"/>
      <c r="I180" s="3" t="n"/>
      <c r="J180" s="3" t="n"/>
      <c r="K180" s="3" t="n"/>
      <c r="L180" s="3" t="n"/>
      <c r="M180" s="3">
        <f>IF(G180="","",G180*H180)</f>
        <v/>
      </c>
      <c r="N180" s="3">
        <f>IF(G180="","",Settings!$C$5)</f>
        <v/>
      </c>
      <c r="O180" s="3">
        <f>IF(G180="","",IF(F180="SELL",M180*IF(E180="Equity Intraday",Settings!$C$8,Settings!$C$7),0))</f>
        <v/>
      </c>
      <c r="P180" s="3">
        <f>IF(G180="","",M180*(Settings!$C$9+Settings!$C$10))</f>
        <v/>
      </c>
      <c r="Q180" s="3">
        <f>IF(G180="","",IF(F180="BUY",M180*Settings!$C$11,0))</f>
        <v/>
      </c>
      <c r="R180" s="3">
        <f>IF(G180="","",N180*Settings!$C$6)</f>
        <v/>
      </c>
      <c r="S180" s="3">
        <f>IF(G180="","",IF(AND(F180="SELL",E180="Equity Delivery"),Settings!$C$13,0))</f>
        <v/>
      </c>
      <c r="T180" s="3">
        <f>IF(G180="","",SUM(N180:S180))</f>
        <v/>
      </c>
      <c r="U180" s="3">
        <f>IF(G180="","",IF(F180="BUY",-(M180+T180),M180-T180))</f>
        <v/>
      </c>
      <c r="V180">
        <f>IF(G180="","",Settings!$C$4+SUM($U$2:U180))</f>
        <v/>
      </c>
    </row>
    <row r="181">
      <c r="A181">
        <f>IF(G181="","",ROW()-1)</f>
        <v/>
      </c>
      <c r="B181" s="8" t="n"/>
      <c r="G181" s="3" t="n"/>
      <c r="H181" s="3" t="n"/>
      <c r="I181" s="3" t="n"/>
      <c r="J181" s="3" t="n"/>
      <c r="K181" s="3" t="n"/>
      <c r="L181" s="3" t="n"/>
      <c r="M181" s="3">
        <f>IF(G181="","",G181*H181)</f>
        <v/>
      </c>
      <c r="N181" s="3">
        <f>IF(G181="","",Settings!$C$5)</f>
        <v/>
      </c>
      <c r="O181" s="3">
        <f>IF(G181="","",IF(F181="SELL",M181*IF(E181="Equity Intraday",Settings!$C$8,Settings!$C$7),0))</f>
        <v/>
      </c>
      <c r="P181" s="3">
        <f>IF(G181="","",M181*(Settings!$C$9+Settings!$C$10))</f>
        <v/>
      </c>
      <c r="Q181" s="3">
        <f>IF(G181="","",IF(F181="BUY",M181*Settings!$C$11,0))</f>
        <v/>
      </c>
      <c r="R181" s="3">
        <f>IF(G181="","",N181*Settings!$C$6)</f>
        <v/>
      </c>
      <c r="S181" s="3">
        <f>IF(G181="","",IF(AND(F181="SELL",E181="Equity Delivery"),Settings!$C$13,0))</f>
        <v/>
      </c>
      <c r="T181" s="3">
        <f>IF(G181="","",SUM(N181:S181))</f>
        <v/>
      </c>
      <c r="U181" s="3">
        <f>IF(G181="","",IF(F181="BUY",-(M181+T181),M181-T181))</f>
        <v/>
      </c>
      <c r="V181">
        <f>IF(G181="","",Settings!$C$4+SUM($U$2:U181))</f>
        <v/>
      </c>
    </row>
    <row r="182">
      <c r="A182">
        <f>IF(G182="","",ROW()-1)</f>
        <v/>
      </c>
      <c r="B182" s="8" t="n"/>
      <c r="G182" s="3" t="n"/>
      <c r="H182" s="3" t="n"/>
      <c r="I182" s="3" t="n"/>
      <c r="J182" s="3" t="n"/>
      <c r="K182" s="3" t="n"/>
      <c r="L182" s="3" t="n"/>
      <c r="M182" s="3">
        <f>IF(G182="","",G182*H182)</f>
        <v/>
      </c>
      <c r="N182" s="3">
        <f>IF(G182="","",Settings!$C$5)</f>
        <v/>
      </c>
      <c r="O182" s="3">
        <f>IF(G182="","",IF(F182="SELL",M182*IF(E182="Equity Intraday",Settings!$C$8,Settings!$C$7),0))</f>
        <v/>
      </c>
      <c r="P182" s="3">
        <f>IF(G182="","",M182*(Settings!$C$9+Settings!$C$10))</f>
        <v/>
      </c>
      <c r="Q182" s="3">
        <f>IF(G182="","",IF(F182="BUY",M182*Settings!$C$11,0))</f>
        <v/>
      </c>
      <c r="R182" s="3">
        <f>IF(G182="","",N182*Settings!$C$6)</f>
        <v/>
      </c>
      <c r="S182" s="3">
        <f>IF(G182="","",IF(AND(F182="SELL",E182="Equity Delivery"),Settings!$C$13,0))</f>
        <v/>
      </c>
      <c r="T182" s="3">
        <f>IF(G182="","",SUM(N182:S182))</f>
        <v/>
      </c>
      <c r="U182" s="3">
        <f>IF(G182="","",IF(F182="BUY",-(M182+T182),M182-T182))</f>
        <v/>
      </c>
      <c r="V182">
        <f>IF(G182="","",Settings!$C$4+SUM($U$2:U182))</f>
        <v/>
      </c>
    </row>
    <row r="183">
      <c r="A183">
        <f>IF(G183="","",ROW()-1)</f>
        <v/>
      </c>
      <c r="B183" s="8" t="n"/>
      <c r="G183" s="3" t="n"/>
      <c r="H183" s="3" t="n"/>
      <c r="I183" s="3" t="n"/>
      <c r="J183" s="3" t="n"/>
      <c r="K183" s="3" t="n"/>
      <c r="L183" s="3" t="n"/>
      <c r="M183" s="3">
        <f>IF(G183="","",G183*H183)</f>
        <v/>
      </c>
      <c r="N183" s="3">
        <f>IF(G183="","",Settings!$C$5)</f>
        <v/>
      </c>
      <c r="O183" s="3">
        <f>IF(G183="","",IF(F183="SELL",M183*IF(E183="Equity Intraday",Settings!$C$8,Settings!$C$7),0))</f>
        <v/>
      </c>
      <c r="P183" s="3">
        <f>IF(G183="","",M183*(Settings!$C$9+Settings!$C$10))</f>
        <v/>
      </c>
      <c r="Q183" s="3">
        <f>IF(G183="","",IF(F183="BUY",M183*Settings!$C$11,0))</f>
        <v/>
      </c>
      <c r="R183" s="3">
        <f>IF(G183="","",N183*Settings!$C$6)</f>
        <v/>
      </c>
      <c r="S183" s="3">
        <f>IF(G183="","",IF(AND(F183="SELL",E183="Equity Delivery"),Settings!$C$13,0))</f>
        <v/>
      </c>
      <c r="T183" s="3">
        <f>IF(G183="","",SUM(N183:S183))</f>
        <v/>
      </c>
      <c r="U183" s="3">
        <f>IF(G183="","",IF(F183="BUY",-(M183+T183),M183-T183))</f>
        <v/>
      </c>
      <c r="V183">
        <f>IF(G183="","",Settings!$C$4+SUM($U$2:U183))</f>
        <v/>
      </c>
    </row>
    <row r="184">
      <c r="A184">
        <f>IF(G184="","",ROW()-1)</f>
        <v/>
      </c>
      <c r="B184" s="8" t="n"/>
      <c r="G184" s="3" t="n"/>
      <c r="H184" s="3" t="n"/>
      <c r="I184" s="3" t="n"/>
      <c r="J184" s="3" t="n"/>
      <c r="K184" s="3" t="n"/>
      <c r="L184" s="3" t="n"/>
      <c r="M184" s="3">
        <f>IF(G184="","",G184*H184)</f>
        <v/>
      </c>
      <c r="N184" s="3">
        <f>IF(G184="","",Settings!$C$5)</f>
        <v/>
      </c>
      <c r="O184" s="3">
        <f>IF(G184="","",IF(F184="SELL",M184*IF(E184="Equity Intraday",Settings!$C$8,Settings!$C$7),0))</f>
        <v/>
      </c>
      <c r="P184" s="3">
        <f>IF(G184="","",M184*(Settings!$C$9+Settings!$C$10))</f>
        <v/>
      </c>
      <c r="Q184" s="3">
        <f>IF(G184="","",IF(F184="BUY",M184*Settings!$C$11,0))</f>
        <v/>
      </c>
      <c r="R184" s="3">
        <f>IF(G184="","",N184*Settings!$C$6)</f>
        <v/>
      </c>
      <c r="S184" s="3">
        <f>IF(G184="","",IF(AND(F184="SELL",E184="Equity Delivery"),Settings!$C$13,0))</f>
        <v/>
      </c>
      <c r="T184" s="3">
        <f>IF(G184="","",SUM(N184:S184))</f>
        <v/>
      </c>
      <c r="U184" s="3">
        <f>IF(G184="","",IF(F184="BUY",-(M184+T184),M184-T184))</f>
        <v/>
      </c>
      <c r="V184">
        <f>IF(G184="","",Settings!$C$4+SUM($U$2:U184))</f>
        <v/>
      </c>
    </row>
    <row r="185">
      <c r="A185">
        <f>IF(G185="","",ROW()-1)</f>
        <v/>
      </c>
      <c r="B185" s="8" t="n"/>
      <c r="G185" s="3" t="n"/>
      <c r="H185" s="3" t="n"/>
      <c r="I185" s="3" t="n"/>
      <c r="J185" s="3" t="n"/>
      <c r="K185" s="3" t="n"/>
      <c r="L185" s="3" t="n"/>
      <c r="M185" s="3">
        <f>IF(G185="","",G185*H185)</f>
        <v/>
      </c>
      <c r="N185" s="3">
        <f>IF(G185="","",Settings!$C$5)</f>
        <v/>
      </c>
      <c r="O185" s="3">
        <f>IF(G185="","",IF(F185="SELL",M185*IF(E185="Equity Intraday",Settings!$C$8,Settings!$C$7),0))</f>
        <v/>
      </c>
      <c r="P185" s="3">
        <f>IF(G185="","",M185*(Settings!$C$9+Settings!$C$10))</f>
        <v/>
      </c>
      <c r="Q185" s="3">
        <f>IF(G185="","",IF(F185="BUY",M185*Settings!$C$11,0))</f>
        <v/>
      </c>
      <c r="R185" s="3">
        <f>IF(G185="","",N185*Settings!$C$6)</f>
        <v/>
      </c>
      <c r="S185" s="3">
        <f>IF(G185="","",IF(AND(F185="SELL",E185="Equity Delivery"),Settings!$C$13,0))</f>
        <v/>
      </c>
      <c r="T185" s="3">
        <f>IF(G185="","",SUM(N185:S185))</f>
        <v/>
      </c>
      <c r="U185" s="3">
        <f>IF(G185="","",IF(F185="BUY",-(M185+T185),M185-T185))</f>
        <v/>
      </c>
      <c r="V185">
        <f>IF(G185="","",Settings!$C$4+SUM($U$2:U185))</f>
        <v/>
      </c>
    </row>
    <row r="186">
      <c r="A186">
        <f>IF(G186="","",ROW()-1)</f>
        <v/>
      </c>
      <c r="B186" s="8" t="n"/>
      <c r="G186" s="3" t="n"/>
      <c r="H186" s="3" t="n"/>
      <c r="I186" s="3" t="n"/>
      <c r="J186" s="3" t="n"/>
      <c r="K186" s="3" t="n"/>
      <c r="L186" s="3" t="n"/>
      <c r="M186" s="3">
        <f>IF(G186="","",G186*H186)</f>
        <v/>
      </c>
      <c r="N186" s="3">
        <f>IF(G186="","",Settings!$C$5)</f>
        <v/>
      </c>
      <c r="O186" s="3">
        <f>IF(G186="","",IF(F186="SELL",M186*IF(E186="Equity Intraday",Settings!$C$8,Settings!$C$7),0))</f>
        <v/>
      </c>
      <c r="P186" s="3">
        <f>IF(G186="","",M186*(Settings!$C$9+Settings!$C$10))</f>
        <v/>
      </c>
      <c r="Q186" s="3">
        <f>IF(G186="","",IF(F186="BUY",M186*Settings!$C$11,0))</f>
        <v/>
      </c>
      <c r="R186" s="3">
        <f>IF(G186="","",N186*Settings!$C$6)</f>
        <v/>
      </c>
      <c r="S186" s="3">
        <f>IF(G186="","",IF(AND(F186="SELL",E186="Equity Delivery"),Settings!$C$13,0))</f>
        <v/>
      </c>
      <c r="T186" s="3">
        <f>IF(G186="","",SUM(N186:S186))</f>
        <v/>
      </c>
      <c r="U186" s="3">
        <f>IF(G186="","",IF(F186="BUY",-(M186+T186),M186-T186))</f>
        <v/>
      </c>
      <c r="V186">
        <f>IF(G186="","",Settings!$C$4+SUM($U$2:U186))</f>
        <v/>
      </c>
    </row>
    <row r="187">
      <c r="A187">
        <f>IF(G187="","",ROW()-1)</f>
        <v/>
      </c>
      <c r="B187" s="8" t="n"/>
      <c r="G187" s="3" t="n"/>
      <c r="H187" s="3" t="n"/>
      <c r="I187" s="3" t="n"/>
      <c r="J187" s="3" t="n"/>
      <c r="K187" s="3" t="n"/>
      <c r="L187" s="3" t="n"/>
      <c r="M187" s="3">
        <f>IF(G187="","",G187*H187)</f>
        <v/>
      </c>
      <c r="N187" s="3">
        <f>IF(G187="","",Settings!$C$5)</f>
        <v/>
      </c>
      <c r="O187" s="3">
        <f>IF(G187="","",IF(F187="SELL",M187*IF(E187="Equity Intraday",Settings!$C$8,Settings!$C$7),0))</f>
        <v/>
      </c>
      <c r="P187" s="3">
        <f>IF(G187="","",M187*(Settings!$C$9+Settings!$C$10))</f>
        <v/>
      </c>
      <c r="Q187" s="3">
        <f>IF(G187="","",IF(F187="BUY",M187*Settings!$C$11,0))</f>
        <v/>
      </c>
      <c r="R187" s="3">
        <f>IF(G187="","",N187*Settings!$C$6)</f>
        <v/>
      </c>
      <c r="S187" s="3">
        <f>IF(G187="","",IF(AND(F187="SELL",E187="Equity Delivery"),Settings!$C$13,0))</f>
        <v/>
      </c>
      <c r="T187" s="3">
        <f>IF(G187="","",SUM(N187:S187))</f>
        <v/>
      </c>
      <c r="U187" s="3">
        <f>IF(G187="","",IF(F187="BUY",-(M187+T187),M187-T187))</f>
        <v/>
      </c>
      <c r="V187">
        <f>IF(G187="","",Settings!$C$4+SUM($U$2:U187))</f>
        <v/>
      </c>
    </row>
    <row r="188">
      <c r="A188">
        <f>IF(G188="","",ROW()-1)</f>
        <v/>
      </c>
      <c r="B188" s="8" t="n"/>
      <c r="G188" s="3" t="n"/>
      <c r="H188" s="3" t="n"/>
      <c r="I188" s="3" t="n"/>
      <c r="J188" s="3" t="n"/>
      <c r="K188" s="3" t="n"/>
      <c r="L188" s="3" t="n"/>
      <c r="M188" s="3">
        <f>IF(G188="","",G188*H188)</f>
        <v/>
      </c>
      <c r="N188" s="3">
        <f>IF(G188="","",Settings!$C$5)</f>
        <v/>
      </c>
      <c r="O188" s="3">
        <f>IF(G188="","",IF(F188="SELL",M188*IF(E188="Equity Intraday",Settings!$C$8,Settings!$C$7),0))</f>
        <v/>
      </c>
      <c r="P188" s="3">
        <f>IF(G188="","",M188*(Settings!$C$9+Settings!$C$10))</f>
        <v/>
      </c>
      <c r="Q188" s="3">
        <f>IF(G188="","",IF(F188="BUY",M188*Settings!$C$11,0))</f>
        <v/>
      </c>
      <c r="R188" s="3">
        <f>IF(G188="","",N188*Settings!$C$6)</f>
        <v/>
      </c>
      <c r="S188" s="3">
        <f>IF(G188="","",IF(AND(F188="SELL",E188="Equity Delivery"),Settings!$C$13,0))</f>
        <v/>
      </c>
      <c r="T188" s="3">
        <f>IF(G188="","",SUM(N188:S188))</f>
        <v/>
      </c>
      <c r="U188" s="3">
        <f>IF(G188="","",IF(F188="BUY",-(M188+T188),M188-T188))</f>
        <v/>
      </c>
      <c r="V188">
        <f>IF(G188="","",Settings!$C$4+SUM($U$2:U188))</f>
        <v/>
      </c>
    </row>
    <row r="189">
      <c r="A189">
        <f>IF(G189="","",ROW()-1)</f>
        <v/>
      </c>
      <c r="B189" s="8" t="n"/>
      <c r="G189" s="3" t="n"/>
      <c r="H189" s="3" t="n"/>
      <c r="I189" s="3" t="n"/>
      <c r="J189" s="3" t="n"/>
      <c r="K189" s="3" t="n"/>
      <c r="L189" s="3" t="n"/>
      <c r="M189" s="3">
        <f>IF(G189="","",G189*H189)</f>
        <v/>
      </c>
      <c r="N189" s="3">
        <f>IF(G189="","",Settings!$C$5)</f>
        <v/>
      </c>
      <c r="O189" s="3">
        <f>IF(G189="","",IF(F189="SELL",M189*IF(E189="Equity Intraday",Settings!$C$8,Settings!$C$7),0))</f>
        <v/>
      </c>
      <c r="P189" s="3">
        <f>IF(G189="","",M189*(Settings!$C$9+Settings!$C$10))</f>
        <v/>
      </c>
      <c r="Q189" s="3">
        <f>IF(G189="","",IF(F189="BUY",M189*Settings!$C$11,0))</f>
        <v/>
      </c>
      <c r="R189" s="3">
        <f>IF(G189="","",N189*Settings!$C$6)</f>
        <v/>
      </c>
      <c r="S189" s="3">
        <f>IF(G189="","",IF(AND(F189="SELL",E189="Equity Delivery"),Settings!$C$13,0))</f>
        <v/>
      </c>
      <c r="T189" s="3">
        <f>IF(G189="","",SUM(N189:S189))</f>
        <v/>
      </c>
      <c r="U189" s="3">
        <f>IF(G189="","",IF(F189="BUY",-(M189+T189),M189-T189))</f>
        <v/>
      </c>
      <c r="V189">
        <f>IF(G189="","",Settings!$C$4+SUM($U$2:U189))</f>
        <v/>
      </c>
    </row>
    <row r="190">
      <c r="A190">
        <f>IF(G190="","",ROW()-1)</f>
        <v/>
      </c>
      <c r="B190" s="8" t="n"/>
      <c r="G190" s="3" t="n"/>
      <c r="H190" s="3" t="n"/>
      <c r="I190" s="3" t="n"/>
      <c r="J190" s="3" t="n"/>
      <c r="K190" s="3" t="n"/>
      <c r="L190" s="3" t="n"/>
      <c r="M190" s="3">
        <f>IF(G190="","",G190*H190)</f>
        <v/>
      </c>
      <c r="N190" s="3">
        <f>IF(G190="","",Settings!$C$5)</f>
        <v/>
      </c>
      <c r="O190" s="3">
        <f>IF(G190="","",IF(F190="SELL",M190*IF(E190="Equity Intraday",Settings!$C$8,Settings!$C$7),0))</f>
        <v/>
      </c>
      <c r="P190" s="3">
        <f>IF(G190="","",M190*(Settings!$C$9+Settings!$C$10))</f>
        <v/>
      </c>
      <c r="Q190" s="3">
        <f>IF(G190="","",IF(F190="BUY",M190*Settings!$C$11,0))</f>
        <v/>
      </c>
      <c r="R190" s="3">
        <f>IF(G190="","",N190*Settings!$C$6)</f>
        <v/>
      </c>
      <c r="S190" s="3">
        <f>IF(G190="","",IF(AND(F190="SELL",E190="Equity Delivery"),Settings!$C$13,0))</f>
        <v/>
      </c>
      <c r="T190" s="3">
        <f>IF(G190="","",SUM(N190:S190))</f>
        <v/>
      </c>
      <c r="U190" s="3">
        <f>IF(G190="","",IF(F190="BUY",-(M190+T190),M190-T190))</f>
        <v/>
      </c>
      <c r="V190">
        <f>IF(G190="","",Settings!$C$4+SUM($U$2:U190))</f>
        <v/>
      </c>
    </row>
    <row r="191">
      <c r="A191">
        <f>IF(G191="","",ROW()-1)</f>
        <v/>
      </c>
      <c r="B191" s="8" t="n"/>
      <c r="G191" s="3" t="n"/>
      <c r="H191" s="3" t="n"/>
      <c r="I191" s="3" t="n"/>
      <c r="J191" s="3" t="n"/>
      <c r="K191" s="3" t="n"/>
      <c r="L191" s="3" t="n"/>
      <c r="M191" s="3">
        <f>IF(G191="","",G191*H191)</f>
        <v/>
      </c>
      <c r="N191" s="3">
        <f>IF(G191="","",Settings!$C$5)</f>
        <v/>
      </c>
      <c r="O191" s="3">
        <f>IF(G191="","",IF(F191="SELL",M191*IF(E191="Equity Intraday",Settings!$C$8,Settings!$C$7),0))</f>
        <v/>
      </c>
      <c r="P191" s="3">
        <f>IF(G191="","",M191*(Settings!$C$9+Settings!$C$10))</f>
        <v/>
      </c>
      <c r="Q191" s="3">
        <f>IF(G191="","",IF(F191="BUY",M191*Settings!$C$11,0))</f>
        <v/>
      </c>
      <c r="R191" s="3">
        <f>IF(G191="","",N191*Settings!$C$6)</f>
        <v/>
      </c>
      <c r="S191" s="3">
        <f>IF(G191="","",IF(AND(F191="SELL",E191="Equity Delivery"),Settings!$C$13,0))</f>
        <v/>
      </c>
      <c r="T191" s="3">
        <f>IF(G191="","",SUM(N191:S191))</f>
        <v/>
      </c>
      <c r="U191" s="3">
        <f>IF(G191="","",IF(F191="BUY",-(M191+T191),M191-T191))</f>
        <v/>
      </c>
      <c r="V191">
        <f>IF(G191="","",Settings!$C$4+SUM($U$2:U191))</f>
        <v/>
      </c>
    </row>
    <row r="192">
      <c r="A192">
        <f>IF(G192="","",ROW()-1)</f>
        <v/>
      </c>
      <c r="B192" s="8" t="n"/>
      <c r="G192" s="3" t="n"/>
      <c r="H192" s="3" t="n"/>
      <c r="I192" s="3" t="n"/>
      <c r="J192" s="3" t="n"/>
      <c r="K192" s="3" t="n"/>
      <c r="L192" s="3" t="n"/>
      <c r="M192" s="3">
        <f>IF(G192="","",G192*H192)</f>
        <v/>
      </c>
      <c r="N192" s="3">
        <f>IF(G192="","",Settings!$C$5)</f>
        <v/>
      </c>
      <c r="O192" s="3">
        <f>IF(G192="","",IF(F192="SELL",M192*IF(E192="Equity Intraday",Settings!$C$8,Settings!$C$7),0))</f>
        <v/>
      </c>
      <c r="P192" s="3">
        <f>IF(G192="","",M192*(Settings!$C$9+Settings!$C$10))</f>
        <v/>
      </c>
      <c r="Q192" s="3">
        <f>IF(G192="","",IF(F192="BUY",M192*Settings!$C$11,0))</f>
        <v/>
      </c>
      <c r="R192" s="3">
        <f>IF(G192="","",N192*Settings!$C$6)</f>
        <v/>
      </c>
      <c r="S192" s="3">
        <f>IF(G192="","",IF(AND(F192="SELL",E192="Equity Delivery"),Settings!$C$13,0))</f>
        <v/>
      </c>
      <c r="T192" s="3">
        <f>IF(G192="","",SUM(N192:S192))</f>
        <v/>
      </c>
      <c r="U192" s="3">
        <f>IF(G192="","",IF(F192="BUY",-(M192+T192),M192-T192))</f>
        <v/>
      </c>
      <c r="V192">
        <f>IF(G192="","",Settings!$C$4+SUM($U$2:U192))</f>
        <v/>
      </c>
    </row>
    <row r="193">
      <c r="A193">
        <f>IF(G193="","",ROW()-1)</f>
        <v/>
      </c>
      <c r="B193" s="8" t="n"/>
      <c r="G193" s="3" t="n"/>
      <c r="H193" s="3" t="n"/>
      <c r="I193" s="3" t="n"/>
      <c r="J193" s="3" t="n"/>
      <c r="K193" s="3" t="n"/>
      <c r="L193" s="3" t="n"/>
      <c r="M193" s="3">
        <f>IF(G193="","",G193*H193)</f>
        <v/>
      </c>
      <c r="N193" s="3">
        <f>IF(G193="","",Settings!$C$5)</f>
        <v/>
      </c>
      <c r="O193" s="3">
        <f>IF(G193="","",IF(F193="SELL",M193*IF(E193="Equity Intraday",Settings!$C$8,Settings!$C$7),0))</f>
        <v/>
      </c>
      <c r="P193" s="3">
        <f>IF(G193="","",M193*(Settings!$C$9+Settings!$C$10))</f>
        <v/>
      </c>
      <c r="Q193" s="3">
        <f>IF(G193="","",IF(F193="BUY",M193*Settings!$C$11,0))</f>
        <v/>
      </c>
      <c r="R193" s="3">
        <f>IF(G193="","",N193*Settings!$C$6)</f>
        <v/>
      </c>
      <c r="S193" s="3">
        <f>IF(G193="","",IF(AND(F193="SELL",E193="Equity Delivery"),Settings!$C$13,0))</f>
        <v/>
      </c>
      <c r="T193" s="3">
        <f>IF(G193="","",SUM(N193:S193))</f>
        <v/>
      </c>
      <c r="U193" s="3">
        <f>IF(G193="","",IF(F193="BUY",-(M193+T193),M193-T193))</f>
        <v/>
      </c>
      <c r="V193">
        <f>IF(G193="","",Settings!$C$4+SUM($U$2:U193))</f>
        <v/>
      </c>
    </row>
    <row r="194">
      <c r="A194">
        <f>IF(G194="","",ROW()-1)</f>
        <v/>
      </c>
      <c r="B194" s="8" t="n"/>
      <c r="G194" s="3" t="n"/>
      <c r="H194" s="3" t="n"/>
      <c r="I194" s="3" t="n"/>
      <c r="J194" s="3" t="n"/>
      <c r="K194" s="3" t="n"/>
      <c r="L194" s="3" t="n"/>
      <c r="M194" s="3">
        <f>IF(G194="","",G194*H194)</f>
        <v/>
      </c>
      <c r="N194" s="3">
        <f>IF(G194="","",Settings!$C$5)</f>
        <v/>
      </c>
      <c r="O194" s="3">
        <f>IF(G194="","",IF(F194="SELL",M194*IF(E194="Equity Intraday",Settings!$C$8,Settings!$C$7),0))</f>
        <v/>
      </c>
      <c r="P194" s="3">
        <f>IF(G194="","",M194*(Settings!$C$9+Settings!$C$10))</f>
        <v/>
      </c>
      <c r="Q194" s="3">
        <f>IF(G194="","",IF(F194="BUY",M194*Settings!$C$11,0))</f>
        <v/>
      </c>
      <c r="R194" s="3">
        <f>IF(G194="","",N194*Settings!$C$6)</f>
        <v/>
      </c>
      <c r="S194" s="3">
        <f>IF(G194="","",IF(AND(F194="SELL",E194="Equity Delivery"),Settings!$C$13,0))</f>
        <v/>
      </c>
      <c r="T194" s="3">
        <f>IF(G194="","",SUM(N194:S194))</f>
        <v/>
      </c>
      <c r="U194" s="3">
        <f>IF(G194="","",IF(F194="BUY",-(M194+T194),M194-T194))</f>
        <v/>
      </c>
      <c r="V194">
        <f>IF(G194="","",Settings!$C$4+SUM($U$2:U194))</f>
        <v/>
      </c>
    </row>
    <row r="195">
      <c r="A195">
        <f>IF(G195="","",ROW()-1)</f>
        <v/>
      </c>
      <c r="B195" s="8" t="n"/>
      <c r="G195" s="3" t="n"/>
      <c r="H195" s="3" t="n"/>
      <c r="I195" s="3" t="n"/>
      <c r="J195" s="3" t="n"/>
      <c r="K195" s="3" t="n"/>
      <c r="L195" s="3" t="n"/>
      <c r="M195" s="3">
        <f>IF(G195="","",G195*H195)</f>
        <v/>
      </c>
      <c r="N195" s="3">
        <f>IF(G195="","",Settings!$C$5)</f>
        <v/>
      </c>
      <c r="O195" s="3">
        <f>IF(G195="","",IF(F195="SELL",M195*IF(E195="Equity Intraday",Settings!$C$8,Settings!$C$7),0))</f>
        <v/>
      </c>
      <c r="P195" s="3">
        <f>IF(G195="","",M195*(Settings!$C$9+Settings!$C$10))</f>
        <v/>
      </c>
      <c r="Q195" s="3">
        <f>IF(G195="","",IF(F195="BUY",M195*Settings!$C$11,0))</f>
        <v/>
      </c>
      <c r="R195" s="3">
        <f>IF(G195="","",N195*Settings!$C$6)</f>
        <v/>
      </c>
      <c r="S195" s="3">
        <f>IF(G195="","",IF(AND(F195="SELL",E195="Equity Delivery"),Settings!$C$13,0))</f>
        <v/>
      </c>
      <c r="T195" s="3">
        <f>IF(G195="","",SUM(N195:S195))</f>
        <v/>
      </c>
      <c r="U195" s="3">
        <f>IF(G195="","",IF(F195="BUY",-(M195+T195),M195-T195))</f>
        <v/>
      </c>
      <c r="V195">
        <f>IF(G195="","",Settings!$C$4+SUM($U$2:U195))</f>
        <v/>
      </c>
    </row>
    <row r="196">
      <c r="A196">
        <f>IF(G196="","",ROW()-1)</f>
        <v/>
      </c>
      <c r="B196" s="8" t="n"/>
      <c r="G196" s="3" t="n"/>
      <c r="H196" s="3" t="n"/>
      <c r="I196" s="3" t="n"/>
      <c r="J196" s="3" t="n"/>
      <c r="K196" s="3" t="n"/>
      <c r="L196" s="3" t="n"/>
      <c r="M196" s="3">
        <f>IF(G196="","",G196*H196)</f>
        <v/>
      </c>
      <c r="N196" s="3">
        <f>IF(G196="","",Settings!$C$5)</f>
        <v/>
      </c>
      <c r="O196" s="3">
        <f>IF(G196="","",IF(F196="SELL",M196*IF(E196="Equity Intraday",Settings!$C$8,Settings!$C$7),0))</f>
        <v/>
      </c>
      <c r="P196" s="3">
        <f>IF(G196="","",M196*(Settings!$C$9+Settings!$C$10))</f>
        <v/>
      </c>
      <c r="Q196" s="3">
        <f>IF(G196="","",IF(F196="BUY",M196*Settings!$C$11,0))</f>
        <v/>
      </c>
      <c r="R196" s="3">
        <f>IF(G196="","",N196*Settings!$C$6)</f>
        <v/>
      </c>
      <c r="S196" s="3">
        <f>IF(G196="","",IF(AND(F196="SELL",E196="Equity Delivery"),Settings!$C$13,0))</f>
        <v/>
      </c>
      <c r="T196" s="3">
        <f>IF(G196="","",SUM(N196:S196))</f>
        <v/>
      </c>
      <c r="U196" s="3">
        <f>IF(G196="","",IF(F196="BUY",-(M196+T196),M196-T196))</f>
        <v/>
      </c>
      <c r="V196">
        <f>IF(G196="","",Settings!$C$4+SUM($U$2:U196))</f>
        <v/>
      </c>
    </row>
    <row r="197">
      <c r="A197">
        <f>IF(G197="","",ROW()-1)</f>
        <v/>
      </c>
      <c r="B197" s="8" t="n"/>
      <c r="G197" s="3" t="n"/>
      <c r="H197" s="3" t="n"/>
      <c r="I197" s="3" t="n"/>
      <c r="J197" s="3" t="n"/>
      <c r="K197" s="3" t="n"/>
      <c r="L197" s="3" t="n"/>
      <c r="M197" s="3">
        <f>IF(G197="","",G197*H197)</f>
        <v/>
      </c>
      <c r="N197" s="3">
        <f>IF(G197="","",Settings!$C$5)</f>
        <v/>
      </c>
      <c r="O197" s="3">
        <f>IF(G197="","",IF(F197="SELL",M197*IF(E197="Equity Intraday",Settings!$C$8,Settings!$C$7),0))</f>
        <v/>
      </c>
      <c r="P197" s="3">
        <f>IF(G197="","",M197*(Settings!$C$9+Settings!$C$10))</f>
        <v/>
      </c>
      <c r="Q197" s="3">
        <f>IF(G197="","",IF(F197="BUY",M197*Settings!$C$11,0))</f>
        <v/>
      </c>
      <c r="R197" s="3">
        <f>IF(G197="","",N197*Settings!$C$6)</f>
        <v/>
      </c>
      <c r="S197" s="3">
        <f>IF(G197="","",IF(AND(F197="SELL",E197="Equity Delivery"),Settings!$C$13,0))</f>
        <v/>
      </c>
      <c r="T197" s="3">
        <f>IF(G197="","",SUM(N197:S197))</f>
        <v/>
      </c>
      <c r="U197" s="3">
        <f>IF(G197="","",IF(F197="BUY",-(M197+T197),M197-T197))</f>
        <v/>
      </c>
      <c r="V197">
        <f>IF(G197="","",Settings!$C$4+SUM($U$2:U197))</f>
        <v/>
      </c>
    </row>
    <row r="198">
      <c r="A198">
        <f>IF(G198="","",ROW()-1)</f>
        <v/>
      </c>
      <c r="B198" s="8" t="n"/>
      <c r="G198" s="3" t="n"/>
      <c r="H198" s="3" t="n"/>
      <c r="I198" s="3" t="n"/>
      <c r="J198" s="3" t="n"/>
      <c r="K198" s="3" t="n"/>
      <c r="L198" s="3" t="n"/>
      <c r="M198" s="3">
        <f>IF(G198="","",G198*H198)</f>
        <v/>
      </c>
      <c r="N198" s="3">
        <f>IF(G198="","",Settings!$C$5)</f>
        <v/>
      </c>
      <c r="O198" s="3">
        <f>IF(G198="","",IF(F198="SELL",M198*IF(E198="Equity Intraday",Settings!$C$8,Settings!$C$7),0))</f>
        <v/>
      </c>
      <c r="P198" s="3">
        <f>IF(G198="","",M198*(Settings!$C$9+Settings!$C$10))</f>
        <v/>
      </c>
      <c r="Q198" s="3">
        <f>IF(G198="","",IF(F198="BUY",M198*Settings!$C$11,0))</f>
        <v/>
      </c>
      <c r="R198" s="3">
        <f>IF(G198="","",N198*Settings!$C$6)</f>
        <v/>
      </c>
      <c r="S198" s="3">
        <f>IF(G198="","",IF(AND(F198="SELL",E198="Equity Delivery"),Settings!$C$13,0))</f>
        <v/>
      </c>
      <c r="T198" s="3">
        <f>IF(G198="","",SUM(N198:S198))</f>
        <v/>
      </c>
      <c r="U198" s="3">
        <f>IF(G198="","",IF(F198="BUY",-(M198+T198),M198-T198))</f>
        <v/>
      </c>
      <c r="V198">
        <f>IF(G198="","",Settings!$C$4+SUM($U$2:U198))</f>
        <v/>
      </c>
    </row>
    <row r="199">
      <c r="A199">
        <f>IF(G199="","",ROW()-1)</f>
        <v/>
      </c>
      <c r="B199" s="8" t="n"/>
      <c r="G199" s="3" t="n"/>
      <c r="H199" s="3" t="n"/>
      <c r="I199" s="3" t="n"/>
      <c r="J199" s="3" t="n"/>
      <c r="K199" s="3" t="n"/>
      <c r="L199" s="3" t="n"/>
      <c r="M199" s="3">
        <f>IF(G199="","",G199*H199)</f>
        <v/>
      </c>
      <c r="N199" s="3">
        <f>IF(G199="","",Settings!$C$5)</f>
        <v/>
      </c>
      <c r="O199" s="3">
        <f>IF(G199="","",IF(F199="SELL",M199*IF(E199="Equity Intraday",Settings!$C$8,Settings!$C$7),0))</f>
        <v/>
      </c>
      <c r="P199" s="3">
        <f>IF(G199="","",M199*(Settings!$C$9+Settings!$C$10))</f>
        <v/>
      </c>
      <c r="Q199" s="3">
        <f>IF(G199="","",IF(F199="BUY",M199*Settings!$C$11,0))</f>
        <v/>
      </c>
      <c r="R199" s="3">
        <f>IF(G199="","",N199*Settings!$C$6)</f>
        <v/>
      </c>
      <c r="S199" s="3">
        <f>IF(G199="","",IF(AND(F199="SELL",E199="Equity Delivery"),Settings!$C$13,0))</f>
        <v/>
      </c>
      <c r="T199" s="3">
        <f>IF(G199="","",SUM(N199:S199))</f>
        <v/>
      </c>
      <c r="U199" s="3">
        <f>IF(G199="","",IF(F199="BUY",-(M199+T199),M199-T199))</f>
        <v/>
      </c>
      <c r="V199">
        <f>IF(G199="","",Settings!$C$4+SUM($U$2:U199))</f>
        <v/>
      </c>
    </row>
    <row r="200">
      <c r="A200">
        <f>IF(G200="","",ROW()-1)</f>
        <v/>
      </c>
      <c r="B200" s="8" t="n"/>
      <c r="G200" s="3" t="n"/>
      <c r="H200" s="3" t="n"/>
      <c r="I200" s="3" t="n"/>
      <c r="J200" s="3" t="n"/>
      <c r="K200" s="3" t="n"/>
      <c r="L200" s="3" t="n"/>
      <c r="M200" s="3">
        <f>IF(G200="","",G200*H200)</f>
        <v/>
      </c>
      <c r="N200" s="3">
        <f>IF(G200="","",Settings!$C$5)</f>
        <v/>
      </c>
      <c r="O200" s="3">
        <f>IF(G200="","",IF(F200="SELL",M200*IF(E200="Equity Intraday",Settings!$C$8,Settings!$C$7),0))</f>
        <v/>
      </c>
      <c r="P200" s="3">
        <f>IF(G200="","",M200*(Settings!$C$9+Settings!$C$10))</f>
        <v/>
      </c>
      <c r="Q200" s="3">
        <f>IF(G200="","",IF(F200="BUY",M200*Settings!$C$11,0))</f>
        <v/>
      </c>
      <c r="R200" s="3">
        <f>IF(G200="","",N200*Settings!$C$6)</f>
        <v/>
      </c>
      <c r="S200" s="3">
        <f>IF(G200="","",IF(AND(F200="SELL",E200="Equity Delivery"),Settings!$C$13,0))</f>
        <v/>
      </c>
      <c r="T200" s="3">
        <f>IF(G200="","",SUM(N200:S200))</f>
        <v/>
      </c>
      <c r="U200" s="3">
        <f>IF(G200="","",IF(F200="BUY",-(M200+T200),M200-T200))</f>
        <v/>
      </c>
      <c r="V200">
        <f>IF(G200="","",Settings!$C$4+SUM($U$2:U200))</f>
        <v/>
      </c>
    </row>
    <row r="201">
      <c r="A201">
        <f>IF(G201="","",ROW()-1)</f>
        <v/>
      </c>
      <c r="B201" s="8" t="n"/>
      <c r="G201" s="3" t="n"/>
      <c r="H201" s="3" t="n"/>
      <c r="I201" s="3" t="n"/>
      <c r="J201" s="3" t="n"/>
      <c r="K201" s="3" t="n"/>
      <c r="L201" s="3" t="n"/>
      <c r="M201" s="3">
        <f>IF(G201="","",G201*H201)</f>
        <v/>
      </c>
      <c r="N201" s="3">
        <f>IF(G201="","",Settings!$C$5)</f>
        <v/>
      </c>
      <c r="O201" s="3">
        <f>IF(G201="","",IF(F201="SELL",M201*IF(E201="Equity Intraday",Settings!$C$8,Settings!$C$7),0))</f>
        <v/>
      </c>
      <c r="P201" s="3">
        <f>IF(G201="","",M201*(Settings!$C$9+Settings!$C$10))</f>
        <v/>
      </c>
      <c r="Q201" s="3">
        <f>IF(G201="","",IF(F201="BUY",M201*Settings!$C$11,0))</f>
        <v/>
      </c>
      <c r="R201" s="3">
        <f>IF(G201="","",N201*Settings!$C$6)</f>
        <v/>
      </c>
      <c r="S201" s="3">
        <f>IF(G201="","",IF(AND(F201="SELL",E201="Equity Delivery"),Settings!$C$13,0))</f>
        <v/>
      </c>
      <c r="T201" s="3">
        <f>IF(G201="","",SUM(N201:S201))</f>
        <v/>
      </c>
      <c r="U201" s="3">
        <f>IF(G201="","",IF(F201="BUY",-(M201+T201),M201-T201))</f>
        <v/>
      </c>
      <c r="V201">
        <f>IF(G201="","",Settings!$C$4+SUM($U$2:U201))</f>
        <v/>
      </c>
    </row>
    <row r="202">
      <c r="A202">
        <f>IF(G202="","",ROW()-1)</f>
        <v/>
      </c>
      <c r="B202" s="8" t="n"/>
      <c r="G202" s="3" t="n"/>
      <c r="H202" s="3" t="n"/>
      <c r="I202" s="3" t="n"/>
      <c r="J202" s="3" t="n"/>
      <c r="K202" s="3" t="n"/>
      <c r="L202" s="3" t="n"/>
      <c r="M202" s="3">
        <f>IF(G202="","",G202*H202)</f>
        <v/>
      </c>
      <c r="N202" s="3">
        <f>IF(G202="","",Settings!$C$5)</f>
        <v/>
      </c>
      <c r="O202" s="3">
        <f>IF(G202="","",IF(F202="SELL",M202*IF(E202="Equity Intraday",Settings!$C$8,Settings!$C$7),0))</f>
        <v/>
      </c>
      <c r="P202" s="3">
        <f>IF(G202="","",M202*(Settings!$C$9+Settings!$C$10))</f>
        <v/>
      </c>
      <c r="Q202" s="3">
        <f>IF(G202="","",IF(F202="BUY",M202*Settings!$C$11,0))</f>
        <v/>
      </c>
      <c r="R202" s="3">
        <f>IF(G202="","",N202*Settings!$C$6)</f>
        <v/>
      </c>
      <c r="S202" s="3">
        <f>IF(G202="","",IF(AND(F202="SELL",E202="Equity Delivery"),Settings!$C$13,0))</f>
        <v/>
      </c>
      <c r="T202" s="3">
        <f>IF(G202="","",SUM(N202:S202))</f>
        <v/>
      </c>
      <c r="U202" s="3">
        <f>IF(G202="","",IF(F202="BUY",-(M202+T202),M202-T202))</f>
        <v/>
      </c>
      <c r="V202">
        <f>IF(G202="","",Settings!$C$4+SUM($U$2:U202))</f>
        <v/>
      </c>
    </row>
    <row r="203">
      <c r="A203">
        <f>IF(G203="","",ROW()-1)</f>
        <v/>
      </c>
      <c r="B203" s="8" t="n"/>
      <c r="G203" s="3" t="n"/>
      <c r="H203" s="3" t="n"/>
      <c r="I203" s="3" t="n"/>
      <c r="J203" s="3" t="n"/>
      <c r="K203" s="3" t="n"/>
      <c r="L203" s="3" t="n"/>
      <c r="M203" s="3">
        <f>IF(G203="","",G203*H203)</f>
        <v/>
      </c>
      <c r="N203" s="3">
        <f>IF(G203="","",Settings!$C$5)</f>
        <v/>
      </c>
      <c r="O203" s="3">
        <f>IF(G203="","",IF(F203="SELL",M203*IF(E203="Equity Intraday",Settings!$C$8,Settings!$C$7),0))</f>
        <v/>
      </c>
      <c r="P203" s="3">
        <f>IF(G203="","",M203*(Settings!$C$9+Settings!$C$10))</f>
        <v/>
      </c>
      <c r="Q203" s="3">
        <f>IF(G203="","",IF(F203="BUY",M203*Settings!$C$11,0))</f>
        <v/>
      </c>
      <c r="R203" s="3">
        <f>IF(G203="","",N203*Settings!$C$6)</f>
        <v/>
      </c>
      <c r="S203" s="3">
        <f>IF(G203="","",IF(AND(F203="SELL",E203="Equity Delivery"),Settings!$C$13,0))</f>
        <v/>
      </c>
      <c r="T203" s="3">
        <f>IF(G203="","",SUM(N203:S203))</f>
        <v/>
      </c>
      <c r="U203" s="3">
        <f>IF(G203="","",IF(F203="BUY",-(M203+T203),M203-T203))</f>
        <v/>
      </c>
      <c r="V203">
        <f>IF(G203="","",Settings!$C$4+SUM($U$2:U203))</f>
        <v/>
      </c>
    </row>
    <row r="204">
      <c r="A204">
        <f>IF(G204="","",ROW()-1)</f>
        <v/>
      </c>
      <c r="B204" s="8" t="n"/>
      <c r="G204" s="3" t="n"/>
      <c r="H204" s="3" t="n"/>
      <c r="I204" s="3" t="n"/>
      <c r="J204" s="3" t="n"/>
      <c r="K204" s="3" t="n"/>
      <c r="L204" s="3" t="n"/>
      <c r="M204" s="3">
        <f>IF(G204="","",G204*H204)</f>
        <v/>
      </c>
      <c r="N204" s="3">
        <f>IF(G204="","",Settings!$C$5)</f>
        <v/>
      </c>
      <c r="O204" s="3">
        <f>IF(G204="","",IF(F204="SELL",M204*IF(E204="Equity Intraday",Settings!$C$8,Settings!$C$7),0))</f>
        <v/>
      </c>
      <c r="P204" s="3">
        <f>IF(G204="","",M204*(Settings!$C$9+Settings!$C$10))</f>
        <v/>
      </c>
      <c r="Q204" s="3">
        <f>IF(G204="","",IF(F204="BUY",M204*Settings!$C$11,0))</f>
        <v/>
      </c>
      <c r="R204" s="3">
        <f>IF(G204="","",N204*Settings!$C$6)</f>
        <v/>
      </c>
      <c r="S204" s="3">
        <f>IF(G204="","",IF(AND(F204="SELL",E204="Equity Delivery"),Settings!$C$13,0))</f>
        <v/>
      </c>
      <c r="T204" s="3">
        <f>IF(G204="","",SUM(N204:S204))</f>
        <v/>
      </c>
      <c r="U204" s="3">
        <f>IF(G204="","",IF(F204="BUY",-(M204+T204),M204-T204))</f>
        <v/>
      </c>
      <c r="V204">
        <f>IF(G204="","",Settings!$C$4+SUM($U$2:U204))</f>
        <v/>
      </c>
    </row>
    <row r="205">
      <c r="A205">
        <f>IF(G205="","",ROW()-1)</f>
        <v/>
      </c>
      <c r="B205" s="8" t="n"/>
      <c r="G205" s="3" t="n"/>
      <c r="H205" s="3" t="n"/>
      <c r="I205" s="3" t="n"/>
      <c r="J205" s="3" t="n"/>
      <c r="K205" s="3" t="n"/>
      <c r="L205" s="3" t="n"/>
      <c r="M205" s="3">
        <f>IF(G205="","",G205*H205)</f>
        <v/>
      </c>
      <c r="N205" s="3">
        <f>IF(G205="","",Settings!$C$5)</f>
        <v/>
      </c>
      <c r="O205" s="3">
        <f>IF(G205="","",IF(F205="SELL",M205*IF(E205="Equity Intraday",Settings!$C$8,Settings!$C$7),0))</f>
        <v/>
      </c>
      <c r="P205" s="3">
        <f>IF(G205="","",M205*(Settings!$C$9+Settings!$C$10))</f>
        <v/>
      </c>
      <c r="Q205" s="3">
        <f>IF(G205="","",IF(F205="BUY",M205*Settings!$C$11,0))</f>
        <v/>
      </c>
      <c r="R205" s="3">
        <f>IF(G205="","",N205*Settings!$C$6)</f>
        <v/>
      </c>
      <c r="S205" s="3">
        <f>IF(G205="","",IF(AND(F205="SELL",E205="Equity Delivery"),Settings!$C$13,0))</f>
        <v/>
      </c>
      <c r="T205" s="3">
        <f>IF(G205="","",SUM(N205:S205))</f>
        <v/>
      </c>
      <c r="U205" s="3">
        <f>IF(G205="","",IF(F205="BUY",-(M205+T205),M205-T205))</f>
        <v/>
      </c>
      <c r="V205">
        <f>IF(G205="","",Settings!$C$4+SUM($U$2:U205))</f>
        <v/>
      </c>
    </row>
    <row r="206">
      <c r="A206">
        <f>IF(G206="","",ROW()-1)</f>
        <v/>
      </c>
      <c r="B206" s="8" t="n"/>
      <c r="G206" s="3" t="n"/>
      <c r="H206" s="3" t="n"/>
      <c r="I206" s="3" t="n"/>
      <c r="J206" s="3" t="n"/>
      <c r="K206" s="3" t="n"/>
      <c r="L206" s="3" t="n"/>
      <c r="M206" s="3">
        <f>IF(G206="","",G206*H206)</f>
        <v/>
      </c>
      <c r="N206" s="3">
        <f>IF(G206="","",Settings!$C$5)</f>
        <v/>
      </c>
      <c r="O206" s="3">
        <f>IF(G206="","",IF(F206="SELL",M206*IF(E206="Equity Intraday",Settings!$C$8,Settings!$C$7),0))</f>
        <v/>
      </c>
      <c r="P206" s="3">
        <f>IF(G206="","",M206*(Settings!$C$9+Settings!$C$10))</f>
        <v/>
      </c>
      <c r="Q206" s="3">
        <f>IF(G206="","",IF(F206="BUY",M206*Settings!$C$11,0))</f>
        <v/>
      </c>
      <c r="R206" s="3">
        <f>IF(G206="","",N206*Settings!$C$6)</f>
        <v/>
      </c>
      <c r="S206" s="3">
        <f>IF(G206="","",IF(AND(F206="SELL",E206="Equity Delivery"),Settings!$C$13,0))</f>
        <v/>
      </c>
      <c r="T206" s="3">
        <f>IF(G206="","",SUM(N206:S206))</f>
        <v/>
      </c>
      <c r="U206" s="3">
        <f>IF(G206="","",IF(F206="BUY",-(M206+T206),M206-T206))</f>
        <v/>
      </c>
      <c r="V206">
        <f>IF(G206="","",Settings!$C$4+SUM($U$2:U206))</f>
        <v/>
      </c>
    </row>
    <row r="207">
      <c r="A207">
        <f>IF(G207="","",ROW()-1)</f>
        <v/>
      </c>
      <c r="B207" s="8" t="n"/>
      <c r="G207" s="3" t="n"/>
      <c r="H207" s="3" t="n"/>
      <c r="I207" s="3" t="n"/>
      <c r="J207" s="3" t="n"/>
      <c r="K207" s="3" t="n"/>
      <c r="L207" s="3" t="n"/>
      <c r="M207" s="3">
        <f>IF(G207="","",G207*H207)</f>
        <v/>
      </c>
      <c r="N207" s="3">
        <f>IF(G207="","",Settings!$C$5)</f>
        <v/>
      </c>
      <c r="O207" s="3">
        <f>IF(G207="","",IF(F207="SELL",M207*IF(E207="Equity Intraday",Settings!$C$8,Settings!$C$7),0))</f>
        <v/>
      </c>
      <c r="P207" s="3">
        <f>IF(G207="","",M207*(Settings!$C$9+Settings!$C$10))</f>
        <v/>
      </c>
      <c r="Q207" s="3">
        <f>IF(G207="","",IF(F207="BUY",M207*Settings!$C$11,0))</f>
        <v/>
      </c>
      <c r="R207" s="3">
        <f>IF(G207="","",N207*Settings!$C$6)</f>
        <v/>
      </c>
      <c r="S207" s="3">
        <f>IF(G207="","",IF(AND(F207="SELL",E207="Equity Delivery"),Settings!$C$13,0))</f>
        <v/>
      </c>
      <c r="T207" s="3">
        <f>IF(G207="","",SUM(N207:S207))</f>
        <v/>
      </c>
      <c r="U207" s="3">
        <f>IF(G207="","",IF(F207="BUY",-(M207+T207),M207-T207))</f>
        <v/>
      </c>
      <c r="V207">
        <f>IF(G207="","",Settings!$C$4+SUM($U$2:U207))</f>
        <v/>
      </c>
    </row>
    <row r="208">
      <c r="A208">
        <f>IF(G208="","",ROW()-1)</f>
        <v/>
      </c>
      <c r="B208" s="8" t="n"/>
      <c r="G208" s="3" t="n"/>
      <c r="H208" s="3" t="n"/>
      <c r="I208" s="3" t="n"/>
      <c r="J208" s="3" t="n"/>
      <c r="K208" s="3" t="n"/>
      <c r="L208" s="3" t="n"/>
      <c r="M208" s="3">
        <f>IF(G208="","",G208*H208)</f>
        <v/>
      </c>
      <c r="N208" s="3">
        <f>IF(G208="","",Settings!$C$5)</f>
        <v/>
      </c>
      <c r="O208" s="3">
        <f>IF(G208="","",IF(F208="SELL",M208*IF(E208="Equity Intraday",Settings!$C$8,Settings!$C$7),0))</f>
        <v/>
      </c>
      <c r="P208" s="3">
        <f>IF(G208="","",M208*(Settings!$C$9+Settings!$C$10))</f>
        <v/>
      </c>
      <c r="Q208" s="3">
        <f>IF(G208="","",IF(F208="BUY",M208*Settings!$C$11,0))</f>
        <v/>
      </c>
      <c r="R208" s="3">
        <f>IF(G208="","",N208*Settings!$C$6)</f>
        <v/>
      </c>
      <c r="S208" s="3">
        <f>IF(G208="","",IF(AND(F208="SELL",E208="Equity Delivery"),Settings!$C$13,0))</f>
        <v/>
      </c>
      <c r="T208" s="3">
        <f>IF(G208="","",SUM(N208:S208))</f>
        <v/>
      </c>
      <c r="U208" s="3">
        <f>IF(G208="","",IF(F208="BUY",-(M208+T208),M208-T208))</f>
        <v/>
      </c>
      <c r="V208">
        <f>IF(G208="","",Settings!$C$4+SUM($U$2:U208))</f>
        <v/>
      </c>
    </row>
    <row r="209">
      <c r="A209">
        <f>IF(G209="","",ROW()-1)</f>
        <v/>
      </c>
      <c r="B209" s="8" t="n"/>
      <c r="G209" s="3" t="n"/>
      <c r="H209" s="3" t="n"/>
      <c r="I209" s="3" t="n"/>
      <c r="J209" s="3" t="n"/>
      <c r="K209" s="3" t="n"/>
      <c r="L209" s="3" t="n"/>
      <c r="M209" s="3">
        <f>IF(G209="","",G209*H209)</f>
        <v/>
      </c>
      <c r="N209" s="3">
        <f>IF(G209="","",Settings!$C$5)</f>
        <v/>
      </c>
      <c r="O209" s="3">
        <f>IF(G209="","",IF(F209="SELL",M209*IF(E209="Equity Intraday",Settings!$C$8,Settings!$C$7),0))</f>
        <v/>
      </c>
      <c r="P209" s="3">
        <f>IF(G209="","",M209*(Settings!$C$9+Settings!$C$10))</f>
        <v/>
      </c>
      <c r="Q209" s="3">
        <f>IF(G209="","",IF(F209="BUY",M209*Settings!$C$11,0))</f>
        <v/>
      </c>
      <c r="R209" s="3">
        <f>IF(G209="","",N209*Settings!$C$6)</f>
        <v/>
      </c>
      <c r="S209" s="3">
        <f>IF(G209="","",IF(AND(F209="SELL",E209="Equity Delivery"),Settings!$C$13,0))</f>
        <v/>
      </c>
      <c r="T209" s="3">
        <f>IF(G209="","",SUM(N209:S209))</f>
        <v/>
      </c>
      <c r="U209" s="3">
        <f>IF(G209="","",IF(F209="BUY",-(M209+T209),M209-T209))</f>
        <v/>
      </c>
      <c r="V209">
        <f>IF(G209="","",Settings!$C$4+SUM($U$2:U209))</f>
        <v/>
      </c>
    </row>
    <row r="210">
      <c r="A210">
        <f>IF(G210="","",ROW()-1)</f>
        <v/>
      </c>
      <c r="B210" s="8" t="n"/>
      <c r="G210" s="3" t="n"/>
      <c r="H210" s="3" t="n"/>
      <c r="I210" s="3" t="n"/>
      <c r="J210" s="3" t="n"/>
      <c r="K210" s="3" t="n"/>
      <c r="L210" s="3" t="n"/>
      <c r="M210" s="3">
        <f>IF(G210="","",G210*H210)</f>
        <v/>
      </c>
      <c r="N210" s="3">
        <f>IF(G210="","",Settings!$C$5)</f>
        <v/>
      </c>
      <c r="O210" s="3">
        <f>IF(G210="","",IF(F210="SELL",M210*IF(E210="Equity Intraday",Settings!$C$8,Settings!$C$7),0))</f>
        <v/>
      </c>
      <c r="P210" s="3">
        <f>IF(G210="","",M210*(Settings!$C$9+Settings!$C$10))</f>
        <v/>
      </c>
      <c r="Q210" s="3">
        <f>IF(G210="","",IF(F210="BUY",M210*Settings!$C$11,0))</f>
        <v/>
      </c>
      <c r="R210" s="3">
        <f>IF(G210="","",N210*Settings!$C$6)</f>
        <v/>
      </c>
      <c r="S210" s="3">
        <f>IF(G210="","",IF(AND(F210="SELL",E210="Equity Delivery"),Settings!$C$13,0))</f>
        <v/>
      </c>
      <c r="T210" s="3">
        <f>IF(G210="","",SUM(N210:S210))</f>
        <v/>
      </c>
      <c r="U210" s="3">
        <f>IF(G210="","",IF(F210="BUY",-(M210+T210),M210-T210))</f>
        <v/>
      </c>
      <c r="V210">
        <f>IF(G210="","",Settings!$C$4+SUM($U$2:U210))</f>
        <v/>
      </c>
    </row>
    <row r="211">
      <c r="A211">
        <f>IF(G211="","",ROW()-1)</f>
        <v/>
      </c>
      <c r="B211" s="8" t="n"/>
      <c r="G211" s="3" t="n"/>
      <c r="H211" s="3" t="n"/>
      <c r="I211" s="3" t="n"/>
      <c r="J211" s="3" t="n"/>
      <c r="K211" s="3" t="n"/>
      <c r="L211" s="3" t="n"/>
      <c r="M211" s="3">
        <f>IF(G211="","",G211*H211)</f>
        <v/>
      </c>
      <c r="N211" s="3">
        <f>IF(G211="","",Settings!$C$5)</f>
        <v/>
      </c>
      <c r="O211" s="3">
        <f>IF(G211="","",IF(F211="SELL",M211*IF(E211="Equity Intraday",Settings!$C$8,Settings!$C$7),0))</f>
        <v/>
      </c>
      <c r="P211" s="3">
        <f>IF(G211="","",M211*(Settings!$C$9+Settings!$C$10))</f>
        <v/>
      </c>
      <c r="Q211" s="3">
        <f>IF(G211="","",IF(F211="BUY",M211*Settings!$C$11,0))</f>
        <v/>
      </c>
      <c r="R211" s="3">
        <f>IF(G211="","",N211*Settings!$C$6)</f>
        <v/>
      </c>
      <c r="S211" s="3">
        <f>IF(G211="","",IF(AND(F211="SELL",E211="Equity Delivery"),Settings!$C$13,0))</f>
        <v/>
      </c>
      <c r="T211" s="3">
        <f>IF(G211="","",SUM(N211:S211))</f>
        <v/>
      </c>
      <c r="U211" s="3">
        <f>IF(G211="","",IF(F211="BUY",-(M211+T211),M211-T211))</f>
        <v/>
      </c>
      <c r="V211">
        <f>IF(G211="","",Settings!$C$4+SUM($U$2:U211))</f>
        <v/>
      </c>
    </row>
    <row r="212">
      <c r="A212">
        <f>IF(G212="","",ROW()-1)</f>
        <v/>
      </c>
      <c r="B212" s="8" t="n"/>
      <c r="G212" s="3" t="n"/>
      <c r="H212" s="3" t="n"/>
      <c r="I212" s="3" t="n"/>
      <c r="J212" s="3" t="n"/>
      <c r="K212" s="3" t="n"/>
      <c r="L212" s="3" t="n"/>
      <c r="M212" s="3">
        <f>IF(G212="","",G212*H212)</f>
        <v/>
      </c>
      <c r="N212" s="3">
        <f>IF(G212="","",Settings!$C$5)</f>
        <v/>
      </c>
      <c r="O212" s="3">
        <f>IF(G212="","",IF(F212="SELL",M212*IF(E212="Equity Intraday",Settings!$C$8,Settings!$C$7),0))</f>
        <v/>
      </c>
      <c r="P212" s="3">
        <f>IF(G212="","",M212*(Settings!$C$9+Settings!$C$10))</f>
        <v/>
      </c>
      <c r="Q212" s="3">
        <f>IF(G212="","",IF(F212="BUY",M212*Settings!$C$11,0))</f>
        <v/>
      </c>
      <c r="R212" s="3">
        <f>IF(G212="","",N212*Settings!$C$6)</f>
        <v/>
      </c>
      <c r="S212" s="3">
        <f>IF(G212="","",IF(AND(F212="SELL",E212="Equity Delivery"),Settings!$C$13,0))</f>
        <v/>
      </c>
      <c r="T212" s="3">
        <f>IF(G212="","",SUM(N212:S212))</f>
        <v/>
      </c>
      <c r="U212" s="3">
        <f>IF(G212="","",IF(F212="BUY",-(M212+T212),M212-T212))</f>
        <v/>
      </c>
      <c r="V212">
        <f>IF(G212="","",Settings!$C$4+SUM($U$2:U212))</f>
        <v/>
      </c>
    </row>
    <row r="213">
      <c r="A213">
        <f>IF(G213="","",ROW()-1)</f>
        <v/>
      </c>
      <c r="B213" s="8" t="n"/>
      <c r="G213" s="3" t="n"/>
      <c r="H213" s="3" t="n"/>
      <c r="I213" s="3" t="n"/>
      <c r="J213" s="3" t="n"/>
      <c r="K213" s="3" t="n"/>
      <c r="L213" s="3" t="n"/>
      <c r="M213" s="3">
        <f>IF(G213="","",G213*H213)</f>
        <v/>
      </c>
      <c r="N213" s="3">
        <f>IF(G213="","",Settings!$C$5)</f>
        <v/>
      </c>
      <c r="O213" s="3">
        <f>IF(G213="","",IF(F213="SELL",M213*IF(E213="Equity Intraday",Settings!$C$8,Settings!$C$7),0))</f>
        <v/>
      </c>
      <c r="P213" s="3">
        <f>IF(G213="","",M213*(Settings!$C$9+Settings!$C$10))</f>
        <v/>
      </c>
      <c r="Q213" s="3">
        <f>IF(G213="","",IF(F213="BUY",M213*Settings!$C$11,0))</f>
        <v/>
      </c>
      <c r="R213" s="3">
        <f>IF(G213="","",N213*Settings!$C$6)</f>
        <v/>
      </c>
      <c r="S213" s="3">
        <f>IF(G213="","",IF(AND(F213="SELL",E213="Equity Delivery"),Settings!$C$13,0))</f>
        <v/>
      </c>
      <c r="T213" s="3">
        <f>IF(G213="","",SUM(N213:S213))</f>
        <v/>
      </c>
      <c r="U213" s="3">
        <f>IF(G213="","",IF(F213="BUY",-(M213+T213),M213-T213))</f>
        <v/>
      </c>
      <c r="V213">
        <f>IF(G213="","",Settings!$C$4+SUM($U$2:U213))</f>
        <v/>
      </c>
    </row>
    <row r="214">
      <c r="A214">
        <f>IF(G214="","",ROW()-1)</f>
        <v/>
      </c>
      <c r="B214" s="8" t="n"/>
      <c r="G214" s="3" t="n"/>
      <c r="H214" s="3" t="n"/>
      <c r="I214" s="3" t="n"/>
      <c r="J214" s="3" t="n"/>
      <c r="K214" s="3" t="n"/>
      <c r="L214" s="3" t="n"/>
      <c r="M214" s="3">
        <f>IF(G214="","",G214*H214)</f>
        <v/>
      </c>
      <c r="N214" s="3">
        <f>IF(G214="","",Settings!$C$5)</f>
        <v/>
      </c>
      <c r="O214" s="3">
        <f>IF(G214="","",IF(F214="SELL",M214*IF(E214="Equity Intraday",Settings!$C$8,Settings!$C$7),0))</f>
        <v/>
      </c>
      <c r="P214" s="3">
        <f>IF(G214="","",M214*(Settings!$C$9+Settings!$C$10))</f>
        <v/>
      </c>
      <c r="Q214" s="3">
        <f>IF(G214="","",IF(F214="BUY",M214*Settings!$C$11,0))</f>
        <v/>
      </c>
      <c r="R214" s="3">
        <f>IF(G214="","",N214*Settings!$C$6)</f>
        <v/>
      </c>
      <c r="S214" s="3">
        <f>IF(G214="","",IF(AND(F214="SELL",E214="Equity Delivery"),Settings!$C$13,0))</f>
        <v/>
      </c>
      <c r="T214" s="3">
        <f>IF(G214="","",SUM(N214:S214))</f>
        <v/>
      </c>
      <c r="U214" s="3">
        <f>IF(G214="","",IF(F214="BUY",-(M214+T214),M214-T214))</f>
        <v/>
      </c>
      <c r="V214">
        <f>IF(G214="","",Settings!$C$4+SUM($U$2:U214))</f>
        <v/>
      </c>
    </row>
    <row r="215">
      <c r="A215">
        <f>IF(G215="","",ROW()-1)</f>
        <v/>
      </c>
      <c r="B215" s="8" t="n"/>
      <c r="G215" s="3" t="n"/>
      <c r="H215" s="3" t="n"/>
      <c r="I215" s="3" t="n"/>
      <c r="J215" s="3" t="n"/>
      <c r="K215" s="3" t="n"/>
      <c r="L215" s="3" t="n"/>
      <c r="M215" s="3">
        <f>IF(G215="","",G215*H215)</f>
        <v/>
      </c>
      <c r="N215" s="3">
        <f>IF(G215="","",Settings!$C$5)</f>
        <v/>
      </c>
      <c r="O215" s="3">
        <f>IF(G215="","",IF(F215="SELL",M215*IF(E215="Equity Intraday",Settings!$C$8,Settings!$C$7),0))</f>
        <v/>
      </c>
      <c r="P215" s="3">
        <f>IF(G215="","",M215*(Settings!$C$9+Settings!$C$10))</f>
        <v/>
      </c>
      <c r="Q215" s="3">
        <f>IF(G215="","",IF(F215="BUY",M215*Settings!$C$11,0))</f>
        <v/>
      </c>
      <c r="R215" s="3">
        <f>IF(G215="","",N215*Settings!$C$6)</f>
        <v/>
      </c>
      <c r="S215" s="3">
        <f>IF(G215="","",IF(AND(F215="SELL",E215="Equity Delivery"),Settings!$C$13,0))</f>
        <v/>
      </c>
      <c r="T215" s="3">
        <f>IF(G215="","",SUM(N215:S215))</f>
        <v/>
      </c>
      <c r="U215" s="3">
        <f>IF(G215="","",IF(F215="BUY",-(M215+T215),M215-T215))</f>
        <v/>
      </c>
      <c r="V215">
        <f>IF(G215="","",Settings!$C$4+SUM($U$2:U215))</f>
        <v/>
      </c>
    </row>
    <row r="216">
      <c r="A216">
        <f>IF(G216="","",ROW()-1)</f>
        <v/>
      </c>
      <c r="B216" s="8" t="n"/>
      <c r="G216" s="3" t="n"/>
      <c r="H216" s="3" t="n"/>
      <c r="I216" s="3" t="n"/>
      <c r="J216" s="3" t="n"/>
      <c r="K216" s="3" t="n"/>
      <c r="L216" s="3" t="n"/>
      <c r="M216" s="3">
        <f>IF(G216="","",G216*H216)</f>
        <v/>
      </c>
      <c r="N216" s="3">
        <f>IF(G216="","",Settings!$C$5)</f>
        <v/>
      </c>
      <c r="O216" s="3">
        <f>IF(G216="","",IF(F216="SELL",M216*IF(E216="Equity Intraday",Settings!$C$8,Settings!$C$7),0))</f>
        <v/>
      </c>
      <c r="P216" s="3">
        <f>IF(G216="","",M216*(Settings!$C$9+Settings!$C$10))</f>
        <v/>
      </c>
      <c r="Q216" s="3">
        <f>IF(G216="","",IF(F216="BUY",M216*Settings!$C$11,0))</f>
        <v/>
      </c>
      <c r="R216" s="3">
        <f>IF(G216="","",N216*Settings!$C$6)</f>
        <v/>
      </c>
      <c r="S216" s="3">
        <f>IF(G216="","",IF(AND(F216="SELL",E216="Equity Delivery"),Settings!$C$13,0))</f>
        <v/>
      </c>
      <c r="T216" s="3">
        <f>IF(G216="","",SUM(N216:S216))</f>
        <v/>
      </c>
      <c r="U216" s="3">
        <f>IF(G216="","",IF(F216="BUY",-(M216+T216),M216-T216))</f>
        <v/>
      </c>
      <c r="V216">
        <f>IF(G216="","",Settings!$C$4+SUM($U$2:U216))</f>
        <v/>
      </c>
    </row>
    <row r="217">
      <c r="A217">
        <f>IF(G217="","",ROW()-1)</f>
        <v/>
      </c>
      <c r="B217" s="8" t="n"/>
      <c r="G217" s="3" t="n"/>
      <c r="H217" s="3" t="n"/>
      <c r="I217" s="3" t="n"/>
      <c r="J217" s="3" t="n"/>
      <c r="K217" s="3" t="n"/>
      <c r="L217" s="3" t="n"/>
      <c r="M217" s="3">
        <f>IF(G217="","",G217*H217)</f>
        <v/>
      </c>
      <c r="N217" s="3">
        <f>IF(G217="","",Settings!$C$5)</f>
        <v/>
      </c>
      <c r="O217" s="3">
        <f>IF(G217="","",IF(F217="SELL",M217*IF(E217="Equity Intraday",Settings!$C$8,Settings!$C$7),0))</f>
        <v/>
      </c>
      <c r="P217" s="3">
        <f>IF(G217="","",M217*(Settings!$C$9+Settings!$C$10))</f>
        <v/>
      </c>
      <c r="Q217" s="3">
        <f>IF(G217="","",IF(F217="BUY",M217*Settings!$C$11,0))</f>
        <v/>
      </c>
      <c r="R217" s="3">
        <f>IF(G217="","",N217*Settings!$C$6)</f>
        <v/>
      </c>
      <c r="S217" s="3">
        <f>IF(G217="","",IF(AND(F217="SELL",E217="Equity Delivery"),Settings!$C$13,0))</f>
        <v/>
      </c>
      <c r="T217" s="3">
        <f>IF(G217="","",SUM(N217:S217))</f>
        <v/>
      </c>
      <c r="U217" s="3">
        <f>IF(G217="","",IF(F217="BUY",-(M217+T217),M217-T217))</f>
        <v/>
      </c>
      <c r="V217">
        <f>IF(G217="","",Settings!$C$4+SUM($U$2:U217))</f>
        <v/>
      </c>
    </row>
    <row r="218">
      <c r="A218">
        <f>IF(G218="","",ROW()-1)</f>
        <v/>
      </c>
      <c r="B218" s="8" t="n"/>
      <c r="G218" s="3" t="n"/>
      <c r="H218" s="3" t="n"/>
      <c r="I218" s="3" t="n"/>
      <c r="J218" s="3" t="n"/>
      <c r="K218" s="3" t="n"/>
      <c r="L218" s="3" t="n"/>
      <c r="M218" s="3">
        <f>IF(G218="","",G218*H218)</f>
        <v/>
      </c>
      <c r="N218" s="3">
        <f>IF(G218="","",Settings!$C$5)</f>
        <v/>
      </c>
      <c r="O218" s="3">
        <f>IF(G218="","",IF(F218="SELL",M218*IF(E218="Equity Intraday",Settings!$C$8,Settings!$C$7),0))</f>
        <v/>
      </c>
      <c r="P218" s="3">
        <f>IF(G218="","",M218*(Settings!$C$9+Settings!$C$10))</f>
        <v/>
      </c>
      <c r="Q218" s="3">
        <f>IF(G218="","",IF(F218="BUY",M218*Settings!$C$11,0))</f>
        <v/>
      </c>
      <c r="R218" s="3">
        <f>IF(G218="","",N218*Settings!$C$6)</f>
        <v/>
      </c>
      <c r="S218" s="3">
        <f>IF(G218="","",IF(AND(F218="SELL",E218="Equity Delivery"),Settings!$C$13,0))</f>
        <v/>
      </c>
      <c r="T218" s="3">
        <f>IF(G218="","",SUM(N218:S218))</f>
        <v/>
      </c>
      <c r="U218" s="3">
        <f>IF(G218="","",IF(F218="BUY",-(M218+T218),M218-T218))</f>
        <v/>
      </c>
      <c r="V218">
        <f>IF(G218="","",Settings!$C$4+SUM($U$2:U218))</f>
        <v/>
      </c>
    </row>
    <row r="219">
      <c r="A219">
        <f>IF(G219="","",ROW()-1)</f>
        <v/>
      </c>
      <c r="B219" s="8" t="n"/>
      <c r="G219" s="3" t="n"/>
      <c r="H219" s="3" t="n"/>
      <c r="I219" s="3" t="n"/>
      <c r="J219" s="3" t="n"/>
      <c r="K219" s="3" t="n"/>
      <c r="L219" s="3" t="n"/>
      <c r="M219" s="3">
        <f>IF(G219="","",G219*H219)</f>
        <v/>
      </c>
      <c r="N219" s="3">
        <f>IF(G219="","",Settings!$C$5)</f>
        <v/>
      </c>
      <c r="O219" s="3">
        <f>IF(G219="","",IF(F219="SELL",M219*IF(E219="Equity Intraday",Settings!$C$8,Settings!$C$7),0))</f>
        <v/>
      </c>
      <c r="P219" s="3">
        <f>IF(G219="","",M219*(Settings!$C$9+Settings!$C$10))</f>
        <v/>
      </c>
      <c r="Q219" s="3">
        <f>IF(G219="","",IF(F219="BUY",M219*Settings!$C$11,0))</f>
        <v/>
      </c>
      <c r="R219" s="3">
        <f>IF(G219="","",N219*Settings!$C$6)</f>
        <v/>
      </c>
      <c r="S219" s="3">
        <f>IF(G219="","",IF(AND(F219="SELL",E219="Equity Delivery"),Settings!$C$13,0))</f>
        <v/>
      </c>
      <c r="T219" s="3">
        <f>IF(G219="","",SUM(N219:S219))</f>
        <v/>
      </c>
      <c r="U219" s="3">
        <f>IF(G219="","",IF(F219="BUY",-(M219+T219),M219-T219))</f>
        <v/>
      </c>
      <c r="V219">
        <f>IF(G219="","",Settings!$C$4+SUM($U$2:U219))</f>
        <v/>
      </c>
    </row>
    <row r="220">
      <c r="A220">
        <f>IF(G220="","",ROW()-1)</f>
        <v/>
      </c>
      <c r="B220" s="8" t="n"/>
      <c r="G220" s="3" t="n"/>
      <c r="H220" s="3" t="n"/>
      <c r="I220" s="3" t="n"/>
      <c r="J220" s="3" t="n"/>
      <c r="K220" s="3" t="n"/>
      <c r="L220" s="3" t="n"/>
      <c r="M220" s="3">
        <f>IF(G220="","",G220*H220)</f>
        <v/>
      </c>
      <c r="N220" s="3">
        <f>IF(G220="","",Settings!$C$5)</f>
        <v/>
      </c>
      <c r="O220" s="3">
        <f>IF(G220="","",IF(F220="SELL",M220*IF(E220="Equity Intraday",Settings!$C$8,Settings!$C$7),0))</f>
        <v/>
      </c>
      <c r="P220" s="3">
        <f>IF(G220="","",M220*(Settings!$C$9+Settings!$C$10))</f>
        <v/>
      </c>
      <c r="Q220" s="3">
        <f>IF(G220="","",IF(F220="BUY",M220*Settings!$C$11,0))</f>
        <v/>
      </c>
      <c r="R220" s="3">
        <f>IF(G220="","",N220*Settings!$C$6)</f>
        <v/>
      </c>
      <c r="S220" s="3">
        <f>IF(G220="","",IF(AND(F220="SELL",E220="Equity Delivery"),Settings!$C$13,0))</f>
        <v/>
      </c>
      <c r="T220" s="3">
        <f>IF(G220="","",SUM(N220:S220))</f>
        <v/>
      </c>
      <c r="U220" s="3">
        <f>IF(G220="","",IF(F220="BUY",-(M220+T220),M220-T220))</f>
        <v/>
      </c>
      <c r="V220">
        <f>IF(G220="","",Settings!$C$4+SUM($U$2:U220))</f>
        <v/>
      </c>
    </row>
    <row r="221">
      <c r="A221">
        <f>IF(G221="","",ROW()-1)</f>
        <v/>
      </c>
      <c r="B221" s="8" t="n"/>
      <c r="G221" s="3" t="n"/>
      <c r="H221" s="3" t="n"/>
      <c r="I221" s="3" t="n"/>
      <c r="J221" s="3" t="n"/>
      <c r="K221" s="3" t="n"/>
      <c r="L221" s="3" t="n"/>
      <c r="M221" s="3">
        <f>IF(G221="","",G221*H221)</f>
        <v/>
      </c>
      <c r="N221" s="3">
        <f>IF(G221="","",Settings!$C$5)</f>
        <v/>
      </c>
      <c r="O221" s="3">
        <f>IF(G221="","",IF(F221="SELL",M221*IF(E221="Equity Intraday",Settings!$C$8,Settings!$C$7),0))</f>
        <v/>
      </c>
      <c r="P221" s="3">
        <f>IF(G221="","",M221*(Settings!$C$9+Settings!$C$10))</f>
        <v/>
      </c>
      <c r="Q221" s="3">
        <f>IF(G221="","",IF(F221="BUY",M221*Settings!$C$11,0))</f>
        <v/>
      </c>
      <c r="R221" s="3">
        <f>IF(G221="","",N221*Settings!$C$6)</f>
        <v/>
      </c>
      <c r="S221" s="3">
        <f>IF(G221="","",IF(AND(F221="SELL",E221="Equity Delivery"),Settings!$C$13,0))</f>
        <v/>
      </c>
      <c r="T221" s="3">
        <f>IF(G221="","",SUM(N221:S221))</f>
        <v/>
      </c>
      <c r="U221" s="3">
        <f>IF(G221="","",IF(F221="BUY",-(M221+T221),M221-T221))</f>
        <v/>
      </c>
      <c r="V221">
        <f>IF(G221="","",Settings!$C$4+SUM($U$2:U221))</f>
        <v/>
      </c>
    </row>
    <row r="222">
      <c r="A222">
        <f>IF(G222="","",ROW()-1)</f>
        <v/>
      </c>
      <c r="B222" s="8" t="n"/>
      <c r="G222" s="3" t="n"/>
      <c r="H222" s="3" t="n"/>
      <c r="I222" s="3" t="n"/>
      <c r="J222" s="3" t="n"/>
      <c r="K222" s="3" t="n"/>
      <c r="L222" s="3" t="n"/>
      <c r="M222" s="3">
        <f>IF(G222="","",G222*H222)</f>
        <v/>
      </c>
      <c r="N222" s="3">
        <f>IF(G222="","",Settings!$C$5)</f>
        <v/>
      </c>
      <c r="O222" s="3">
        <f>IF(G222="","",IF(F222="SELL",M222*IF(E222="Equity Intraday",Settings!$C$8,Settings!$C$7),0))</f>
        <v/>
      </c>
      <c r="P222" s="3">
        <f>IF(G222="","",M222*(Settings!$C$9+Settings!$C$10))</f>
        <v/>
      </c>
      <c r="Q222" s="3">
        <f>IF(G222="","",IF(F222="BUY",M222*Settings!$C$11,0))</f>
        <v/>
      </c>
      <c r="R222" s="3">
        <f>IF(G222="","",N222*Settings!$C$6)</f>
        <v/>
      </c>
      <c r="S222" s="3">
        <f>IF(G222="","",IF(AND(F222="SELL",E222="Equity Delivery"),Settings!$C$13,0))</f>
        <v/>
      </c>
      <c r="T222" s="3">
        <f>IF(G222="","",SUM(N222:S222))</f>
        <v/>
      </c>
      <c r="U222" s="3">
        <f>IF(G222="","",IF(F222="BUY",-(M222+T222),M222-T222))</f>
        <v/>
      </c>
      <c r="V222">
        <f>IF(G222="","",Settings!$C$4+SUM($U$2:U222))</f>
        <v/>
      </c>
    </row>
    <row r="223">
      <c r="A223">
        <f>IF(G223="","",ROW()-1)</f>
        <v/>
      </c>
      <c r="B223" s="8" t="n"/>
      <c r="G223" s="3" t="n"/>
      <c r="H223" s="3" t="n"/>
      <c r="I223" s="3" t="n"/>
      <c r="J223" s="3" t="n"/>
      <c r="K223" s="3" t="n"/>
      <c r="L223" s="3" t="n"/>
      <c r="M223" s="3">
        <f>IF(G223="","",G223*H223)</f>
        <v/>
      </c>
      <c r="N223" s="3">
        <f>IF(G223="","",Settings!$C$5)</f>
        <v/>
      </c>
      <c r="O223" s="3">
        <f>IF(G223="","",IF(F223="SELL",M223*IF(E223="Equity Intraday",Settings!$C$8,Settings!$C$7),0))</f>
        <v/>
      </c>
      <c r="P223" s="3">
        <f>IF(G223="","",M223*(Settings!$C$9+Settings!$C$10))</f>
        <v/>
      </c>
      <c r="Q223" s="3">
        <f>IF(G223="","",IF(F223="BUY",M223*Settings!$C$11,0))</f>
        <v/>
      </c>
      <c r="R223" s="3">
        <f>IF(G223="","",N223*Settings!$C$6)</f>
        <v/>
      </c>
      <c r="S223" s="3">
        <f>IF(G223="","",IF(AND(F223="SELL",E223="Equity Delivery"),Settings!$C$13,0))</f>
        <v/>
      </c>
      <c r="T223" s="3">
        <f>IF(G223="","",SUM(N223:S223))</f>
        <v/>
      </c>
      <c r="U223" s="3">
        <f>IF(G223="","",IF(F223="BUY",-(M223+T223),M223-T223))</f>
        <v/>
      </c>
      <c r="V223">
        <f>IF(G223="","",Settings!$C$4+SUM($U$2:U223))</f>
        <v/>
      </c>
    </row>
    <row r="224">
      <c r="A224">
        <f>IF(G224="","",ROW()-1)</f>
        <v/>
      </c>
      <c r="B224" s="8" t="n"/>
      <c r="G224" s="3" t="n"/>
      <c r="H224" s="3" t="n"/>
      <c r="I224" s="3" t="n"/>
      <c r="J224" s="3" t="n"/>
      <c r="K224" s="3" t="n"/>
      <c r="L224" s="3" t="n"/>
      <c r="M224" s="3">
        <f>IF(G224="","",G224*H224)</f>
        <v/>
      </c>
      <c r="N224" s="3">
        <f>IF(G224="","",Settings!$C$5)</f>
        <v/>
      </c>
      <c r="O224" s="3">
        <f>IF(G224="","",IF(F224="SELL",M224*IF(E224="Equity Intraday",Settings!$C$8,Settings!$C$7),0))</f>
        <v/>
      </c>
      <c r="P224" s="3">
        <f>IF(G224="","",M224*(Settings!$C$9+Settings!$C$10))</f>
        <v/>
      </c>
      <c r="Q224" s="3">
        <f>IF(G224="","",IF(F224="BUY",M224*Settings!$C$11,0))</f>
        <v/>
      </c>
      <c r="R224" s="3">
        <f>IF(G224="","",N224*Settings!$C$6)</f>
        <v/>
      </c>
      <c r="S224" s="3">
        <f>IF(G224="","",IF(AND(F224="SELL",E224="Equity Delivery"),Settings!$C$13,0))</f>
        <v/>
      </c>
      <c r="T224" s="3">
        <f>IF(G224="","",SUM(N224:S224))</f>
        <v/>
      </c>
      <c r="U224" s="3">
        <f>IF(G224="","",IF(F224="BUY",-(M224+T224),M224-T224))</f>
        <v/>
      </c>
      <c r="V224">
        <f>IF(G224="","",Settings!$C$4+SUM($U$2:U224))</f>
        <v/>
      </c>
    </row>
    <row r="225">
      <c r="A225">
        <f>IF(G225="","",ROW()-1)</f>
        <v/>
      </c>
      <c r="B225" s="8" t="n"/>
      <c r="G225" s="3" t="n"/>
      <c r="H225" s="3" t="n"/>
      <c r="I225" s="3" t="n"/>
      <c r="J225" s="3" t="n"/>
      <c r="K225" s="3" t="n"/>
      <c r="L225" s="3" t="n"/>
      <c r="M225" s="3">
        <f>IF(G225="","",G225*H225)</f>
        <v/>
      </c>
      <c r="N225" s="3">
        <f>IF(G225="","",Settings!$C$5)</f>
        <v/>
      </c>
      <c r="O225" s="3">
        <f>IF(G225="","",IF(F225="SELL",M225*IF(E225="Equity Intraday",Settings!$C$8,Settings!$C$7),0))</f>
        <v/>
      </c>
      <c r="P225" s="3">
        <f>IF(G225="","",M225*(Settings!$C$9+Settings!$C$10))</f>
        <v/>
      </c>
      <c r="Q225" s="3">
        <f>IF(G225="","",IF(F225="BUY",M225*Settings!$C$11,0))</f>
        <v/>
      </c>
      <c r="R225" s="3">
        <f>IF(G225="","",N225*Settings!$C$6)</f>
        <v/>
      </c>
      <c r="S225" s="3">
        <f>IF(G225="","",IF(AND(F225="SELL",E225="Equity Delivery"),Settings!$C$13,0))</f>
        <v/>
      </c>
      <c r="T225" s="3">
        <f>IF(G225="","",SUM(N225:S225))</f>
        <v/>
      </c>
      <c r="U225" s="3">
        <f>IF(G225="","",IF(F225="BUY",-(M225+T225),M225-T225))</f>
        <v/>
      </c>
      <c r="V225">
        <f>IF(G225="","",Settings!$C$4+SUM($U$2:U225))</f>
        <v/>
      </c>
    </row>
    <row r="226">
      <c r="A226">
        <f>IF(G226="","",ROW()-1)</f>
        <v/>
      </c>
      <c r="B226" s="8" t="n"/>
      <c r="G226" s="3" t="n"/>
      <c r="H226" s="3" t="n"/>
      <c r="I226" s="3" t="n"/>
      <c r="J226" s="3" t="n"/>
      <c r="K226" s="3" t="n"/>
      <c r="L226" s="3" t="n"/>
      <c r="M226" s="3">
        <f>IF(G226="","",G226*H226)</f>
        <v/>
      </c>
      <c r="N226" s="3">
        <f>IF(G226="","",Settings!$C$5)</f>
        <v/>
      </c>
      <c r="O226" s="3">
        <f>IF(G226="","",IF(F226="SELL",M226*IF(E226="Equity Intraday",Settings!$C$8,Settings!$C$7),0))</f>
        <v/>
      </c>
      <c r="P226" s="3">
        <f>IF(G226="","",M226*(Settings!$C$9+Settings!$C$10))</f>
        <v/>
      </c>
      <c r="Q226" s="3">
        <f>IF(G226="","",IF(F226="BUY",M226*Settings!$C$11,0))</f>
        <v/>
      </c>
      <c r="R226" s="3">
        <f>IF(G226="","",N226*Settings!$C$6)</f>
        <v/>
      </c>
      <c r="S226" s="3">
        <f>IF(G226="","",IF(AND(F226="SELL",E226="Equity Delivery"),Settings!$C$13,0))</f>
        <v/>
      </c>
      <c r="T226" s="3">
        <f>IF(G226="","",SUM(N226:S226))</f>
        <v/>
      </c>
      <c r="U226" s="3">
        <f>IF(G226="","",IF(F226="BUY",-(M226+T226),M226-T226))</f>
        <v/>
      </c>
      <c r="V226">
        <f>IF(G226="","",Settings!$C$4+SUM($U$2:U226))</f>
        <v/>
      </c>
    </row>
    <row r="227">
      <c r="A227">
        <f>IF(G227="","",ROW()-1)</f>
        <v/>
      </c>
      <c r="B227" s="8" t="n"/>
      <c r="G227" s="3" t="n"/>
      <c r="H227" s="3" t="n"/>
      <c r="I227" s="3" t="n"/>
      <c r="J227" s="3" t="n"/>
      <c r="K227" s="3" t="n"/>
      <c r="L227" s="3" t="n"/>
      <c r="M227" s="3">
        <f>IF(G227="","",G227*H227)</f>
        <v/>
      </c>
      <c r="N227" s="3">
        <f>IF(G227="","",Settings!$C$5)</f>
        <v/>
      </c>
      <c r="O227" s="3">
        <f>IF(G227="","",IF(F227="SELL",M227*IF(E227="Equity Intraday",Settings!$C$8,Settings!$C$7),0))</f>
        <v/>
      </c>
      <c r="P227" s="3">
        <f>IF(G227="","",M227*(Settings!$C$9+Settings!$C$10))</f>
        <v/>
      </c>
      <c r="Q227" s="3">
        <f>IF(G227="","",IF(F227="BUY",M227*Settings!$C$11,0))</f>
        <v/>
      </c>
      <c r="R227" s="3">
        <f>IF(G227="","",N227*Settings!$C$6)</f>
        <v/>
      </c>
      <c r="S227" s="3">
        <f>IF(G227="","",IF(AND(F227="SELL",E227="Equity Delivery"),Settings!$C$13,0))</f>
        <v/>
      </c>
      <c r="T227" s="3">
        <f>IF(G227="","",SUM(N227:S227))</f>
        <v/>
      </c>
      <c r="U227" s="3">
        <f>IF(G227="","",IF(F227="BUY",-(M227+T227),M227-T227))</f>
        <v/>
      </c>
      <c r="V227">
        <f>IF(G227="","",Settings!$C$4+SUM($U$2:U227))</f>
        <v/>
      </c>
    </row>
    <row r="228">
      <c r="A228">
        <f>IF(G228="","",ROW()-1)</f>
        <v/>
      </c>
      <c r="B228" s="8" t="n"/>
      <c r="G228" s="3" t="n"/>
      <c r="H228" s="3" t="n"/>
      <c r="I228" s="3" t="n"/>
      <c r="J228" s="3" t="n"/>
      <c r="K228" s="3" t="n"/>
      <c r="L228" s="3" t="n"/>
      <c r="M228" s="3">
        <f>IF(G228="","",G228*H228)</f>
        <v/>
      </c>
      <c r="N228" s="3">
        <f>IF(G228="","",Settings!$C$5)</f>
        <v/>
      </c>
      <c r="O228" s="3">
        <f>IF(G228="","",IF(F228="SELL",M228*IF(E228="Equity Intraday",Settings!$C$8,Settings!$C$7),0))</f>
        <v/>
      </c>
      <c r="P228" s="3">
        <f>IF(G228="","",M228*(Settings!$C$9+Settings!$C$10))</f>
        <v/>
      </c>
      <c r="Q228" s="3">
        <f>IF(G228="","",IF(F228="BUY",M228*Settings!$C$11,0))</f>
        <v/>
      </c>
      <c r="R228" s="3">
        <f>IF(G228="","",N228*Settings!$C$6)</f>
        <v/>
      </c>
      <c r="S228" s="3">
        <f>IF(G228="","",IF(AND(F228="SELL",E228="Equity Delivery"),Settings!$C$13,0))</f>
        <v/>
      </c>
      <c r="T228" s="3">
        <f>IF(G228="","",SUM(N228:S228))</f>
        <v/>
      </c>
      <c r="U228" s="3">
        <f>IF(G228="","",IF(F228="BUY",-(M228+T228),M228-T228))</f>
        <v/>
      </c>
      <c r="V228">
        <f>IF(G228="","",Settings!$C$4+SUM($U$2:U228))</f>
        <v/>
      </c>
    </row>
    <row r="229">
      <c r="A229">
        <f>IF(G229="","",ROW()-1)</f>
        <v/>
      </c>
      <c r="B229" s="8" t="n"/>
      <c r="G229" s="3" t="n"/>
      <c r="H229" s="3" t="n"/>
      <c r="I229" s="3" t="n"/>
      <c r="J229" s="3" t="n"/>
      <c r="K229" s="3" t="n"/>
      <c r="L229" s="3" t="n"/>
      <c r="M229" s="3">
        <f>IF(G229="","",G229*H229)</f>
        <v/>
      </c>
      <c r="N229" s="3">
        <f>IF(G229="","",Settings!$C$5)</f>
        <v/>
      </c>
      <c r="O229" s="3">
        <f>IF(G229="","",IF(F229="SELL",M229*IF(E229="Equity Intraday",Settings!$C$8,Settings!$C$7),0))</f>
        <v/>
      </c>
      <c r="P229" s="3">
        <f>IF(G229="","",M229*(Settings!$C$9+Settings!$C$10))</f>
        <v/>
      </c>
      <c r="Q229" s="3">
        <f>IF(G229="","",IF(F229="BUY",M229*Settings!$C$11,0))</f>
        <v/>
      </c>
      <c r="R229" s="3">
        <f>IF(G229="","",N229*Settings!$C$6)</f>
        <v/>
      </c>
      <c r="S229" s="3">
        <f>IF(G229="","",IF(AND(F229="SELL",E229="Equity Delivery"),Settings!$C$13,0))</f>
        <v/>
      </c>
      <c r="T229" s="3">
        <f>IF(G229="","",SUM(N229:S229))</f>
        <v/>
      </c>
      <c r="U229" s="3">
        <f>IF(G229="","",IF(F229="BUY",-(M229+T229),M229-T229))</f>
        <v/>
      </c>
      <c r="V229">
        <f>IF(G229="","",Settings!$C$4+SUM($U$2:U229))</f>
        <v/>
      </c>
    </row>
    <row r="230">
      <c r="A230">
        <f>IF(G230="","",ROW()-1)</f>
        <v/>
      </c>
      <c r="B230" s="8" t="n"/>
      <c r="G230" s="3" t="n"/>
      <c r="H230" s="3" t="n"/>
      <c r="I230" s="3" t="n"/>
      <c r="J230" s="3" t="n"/>
      <c r="K230" s="3" t="n"/>
      <c r="L230" s="3" t="n"/>
      <c r="M230" s="3">
        <f>IF(G230="","",G230*H230)</f>
        <v/>
      </c>
      <c r="N230" s="3">
        <f>IF(G230="","",Settings!$C$5)</f>
        <v/>
      </c>
      <c r="O230" s="3">
        <f>IF(G230="","",IF(F230="SELL",M230*IF(E230="Equity Intraday",Settings!$C$8,Settings!$C$7),0))</f>
        <v/>
      </c>
      <c r="P230" s="3">
        <f>IF(G230="","",M230*(Settings!$C$9+Settings!$C$10))</f>
        <v/>
      </c>
      <c r="Q230" s="3">
        <f>IF(G230="","",IF(F230="BUY",M230*Settings!$C$11,0))</f>
        <v/>
      </c>
      <c r="R230" s="3">
        <f>IF(G230="","",N230*Settings!$C$6)</f>
        <v/>
      </c>
      <c r="S230" s="3">
        <f>IF(G230="","",IF(AND(F230="SELL",E230="Equity Delivery"),Settings!$C$13,0))</f>
        <v/>
      </c>
      <c r="T230" s="3">
        <f>IF(G230="","",SUM(N230:S230))</f>
        <v/>
      </c>
      <c r="U230" s="3">
        <f>IF(G230="","",IF(F230="BUY",-(M230+T230),M230-T230))</f>
        <v/>
      </c>
      <c r="V230">
        <f>IF(G230="","",Settings!$C$4+SUM($U$2:U230))</f>
        <v/>
      </c>
    </row>
    <row r="231">
      <c r="A231">
        <f>IF(G231="","",ROW()-1)</f>
        <v/>
      </c>
      <c r="B231" s="8" t="n"/>
      <c r="G231" s="3" t="n"/>
      <c r="H231" s="3" t="n"/>
      <c r="I231" s="3" t="n"/>
      <c r="J231" s="3" t="n"/>
      <c r="K231" s="3" t="n"/>
      <c r="L231" s="3" t="n"/>
      <c r="M231" s="3">
        <f>IF(G231="","",G231*H231)</f>
        <v/>
      </c>
      <c r="N231" s="3">
        <f>IF(G231="","",Settings!$C$5)</f>
        <v/>
      </c>
      <c r="O231" s="3">
        <f>IF(G231="","",IF(F231="SELL",M231*IF(E231="Equity Intraday",Settings!$C$8,Settings!$C$7),0))</f>
        <v/>
      </c>
      <c r="P231" s="3">
        <f>IF(G231="","",M231*(Settings!$C$9+Settings!$C$10))</f>
        <v/>
      </c>
      <c r="Q231" s="3">
        <f>IF(G231="","",IF(F231="BUY",M231*Settings!$C$11,0))</f>
        <v/>
      </c>
      <c r="R231" s="3">
        <f>IF(G231="","",N231*Settings!$C$6)</f>
        <v/>
      </c>
      <c r="S231" s="3">
        <f>IF(G231="","",IF(AND(F231="SELL",E231="Equity Delivery"),Settings!$C$13,0))</f>
        <v/>
      </c>
      <c r="T231" s="3">
        <f>IF(G231="","",SUM(N231:S231))</f>
        <v/>
      </c>
      <c r="U231" s="3">
        <f>IF(G231="","",IF(F231="BUY",-(M231+T231),M231-T231))</f>
        <v/>
      </c>
      <c r="V231">
        <f>IF(G231="","",Settings!$C$4+SUM($U$2:U231))</f>
        <v/>
      </c>
    </row>
    <row r="232">
      <c r="A232">
        <f>IF(G232="","",ROW()-1)</f>
        <v/>
      </c>
      <c r="B232" s="8" t="n"/>
      <c r="G232" s="3" t="n"/>
      <c r="H232" s="3" t="n"/>
      <c r="I232" s="3" t="n"/>
      <c r="J232" s="3" t="n"/>
      <c r="K232" s="3" t="n"/>
      <c r="L232" s="3" t="n"/>
      <c r="M232" s="3">
        <f>IF(G232="","",G232*H232)</f>
        <v/>
      </c>
      <c r="N232" s="3">
        <f>IF(G232="","",Settings!$C$5)</f>
        <v/>
      </c>
      <c r="O232" s="3">
        <f>IF(G232="","",IF(F232="SELL",M232*IF(E232="Equity Intraday",Settings!$C$8,Settings!$C$7),0))</f>
        <v/>
      </c>
      <c r="P232" s="3">
        <f>IF(G232="","",M232*(Settings!$C$9+Settings!$C$10))</f>
        <v/>
      </c>
      <c r="Q232" s="3">
        <f>IF(G232="","",IF(F232="BUY",M232*Settings!$C$11,0))</f>
        <v/>
      </c>
      <c r="R232" s="3">
        <f>IF(G232="","",N232*Settings!$C$6)</f>
        <v/>
      </c>
      <c r="S232" s="3">
        <f>IF(G232="","",IF(AND(F232="SELL",E232="Equity Delivery"),Settings!$C$13,0))</f>
        <v/>
      </c>
      <c r="T232" s="3">
        <f>IF(G232="","",SUM(N232:S232))</f>
        <v/>
      </c>
      <c r="U232" s="3">
        <f>IF(G232="","",IF(F232="BUY",-(M232+T232),M232-T232))</f>
        <v/>
      </c>
      <c r="V232">
        <f>IF(G232="","",Settings!$C$4+SUM($U$2:U232))</f>
        <v/>
      </c>
    </row>
    <row r="233">
      <c r="A233">
        <f>IF(G233="","",ROW()-1)</f>
        <v/>
      </c>
      <c r="B233" s="8" t="n"/>
      <c r="G233" s="3" t="n"/>
      <c r="H233" s="3" t="n"/>
      <c r="I233" s="3" t="n"/>
      <c r="J233" s="3" t="n"/>
      <c r="K233" s="3" t="n"/>
      <c r="L233" s="3" t="n"/>
      <c r="M233" s="3">
        <f>IF(G233="","",G233*H233)</f>
        <v/>
      </c>
      <c r="N233" s="3">
        <f>IF(G233="","",Settings!$C$5)</f>
        <v/>
      </c>
      <c r="O233" s="3">
        <f>IF(G233="","",IF(F233="SELL",M233*IF(E233="Equity Intraday",Settings!$C$8,Settings!$C$7),0))</f>
        <v/>
      </c>
      <c r="P233" s="3">
        <f>IF(G233="","",M233*(Settings!$C$9+Settings!$C$10))</f>
        <v/>
      </c>
      <c r="Q233" s="3">
        <f>IF(G233="","",IF(F233="BUY",M233*Settings!$C$11,0))</f>
        <v/>
      </c>
      <c r="R233" s="3">
        <f>IF(G233="","",N233*Settings!$C$6)</f>
        <v/>
      </c>
      <c r="S233" s="3">
        <f>IF(G233="","",IF(AND(F233="SELL",E233="Equity Delivery"),Settings!$C$13,0))</f>
        <v/>
      </c>
      <c r="T233" s="3">
        <f>IF(G233="","",SUM(N233:S233))</f>
        <v/>
      </c>
      <c r="U233" s="3">
        <f>IF(G233="","",IF(F233="BUY",-(M233+T233),M233-T233))</f>
        <v/>
      </c>
      <c r="V233">
        <f>IF(G233="","",Settings!$C$4+SUM($U$2:U233))</f>
        <v/>
      </c>
    </row>
    <row r="234">
      <c r="A234">
        <f>IF(G234="","",ROW()-1)</f>
        <v/>
      </c>
      <c r="B234" s="8" t="n"/>
      <c r="G234" s="3" t="n"/>
      <c r="H234" s="3" t="n"/>
      <c r="I234" s="3" t="n"/>
      <c r="J234" s="3" t="n"/>
      <c r="K234" s="3" t="n"/>
      <c r="L234" s="3" t="n"/>
      <c r="M234" s="3">
        <f>IF(G234="","",G234*H234)</f>
        <v/>
      </c>
      <c r="N234" s="3">
        <f>IF(G234="","",Settings!$C$5)</f>
        <v/>
      </c>
      <c r="O234" s="3">
        <f>IF(G234="","",IF(F234="SELL",M234*IF(E234="Equity Intraday",Settings!$C$8,Settings!$C$7),0))</f>
        <v/>
      </c>
      <c r="P234" s="3">
        <f>IF(G234="","",M234*(Settings!$C$9+Settings!$C$10))</f>
        <v/>
      </c>
      <c r="Q234" s="3">
        <f>IF(G234="","",IF(F234="BUY",M234*Settings!$C$11,0))</f>
        <v/>
      </c>
      <c r="R234" s="3">
        <f>IF(G234="","",N234*Settings!$C$6)</f>
        <v/>
      </c>
      <c r="S234" s="3">
        <f>IF(G234="","",IF(AND(F234="SELL",E234="Equity Delivery"),Settings!$C$13,0))</f>
        <v/>
      </c>
      <c r="T234" s="3">
        <f>IF(G234="","",SUM(N234:S234))</f>
        <v/>
      </c>
      <c r="U234" s="3">
        <f>IF(G234="","",IF(F234="BUY",-(M234+T234),M234-T234))</f>
        <v/>
      </c>
      <c r="V234">
        <f>IF(G234="","",Settings!$C$4+SUM($U$2:U234))</f>
        <v/>
      </c>
    </row>
    <row r="235">
      <c r="A235">
        <f>IF(G235="","",ROW()-1)</f>
        <v/>
      </c>
      <c r="B235" s="8" t="n"/>
      <c r="G235" s="3" t="n"/>
      <c r="H235" s="3" t="n"/>
      <c r="I235" s="3" t="n"/>
      <c r="J235" s="3" t="n"/>
      <c r="K235" s="3" t="n"/>
      <c r="L235" s="3" t="n"/>
      <c r="M235" s="3">
        <f>IF(G235="","",G235*H235)</f>
        <v/>
      </c>
      <c r="N235" s="3">
        <f>IF(G235="","",Settings!$C$5)</f>
        <v/>
      </c>
      <c r="O235" s="3">
        <f>IF(G235="","",IF(F235="SELL",M235*IF(E235="Equity Intraday",Settings!$C$8,Settings!$C$7),0))</f>
        <v/>
      </c>
      <c r="P235" s="3">
        <f>IF(G235="","",M235*(Settings!$C$9+Settings!$C$10))</f>
        <v/>
      </c>
      <c r="Q235" s="3">
        <f>IF(G235="","",IF(F235="BUY",M235*Settings!$C$11,0))</f>
        <v/>
      </c>
      <c r="R235" s="3">
        <f>IF(G235="","",N235*Settings!$C$6)</f>
        <v/>
      </c>
      <c r="S235" s="3">
        <f>IF(G235="","",IF(AND(F235="SELL",E235="Equity Delivery"),Settings!$C$13,0))</f>
        <v/>
      </c>
      <c r="T235" s="3">
        <f>IF(G235="","",SUM(N235:S235))</f>
        <v/>
      </c>
      <c r="U235" s="3">
        <f>IF(G235="","",IF(F235="BUY",-(M235+T235),M235-T235))</f>
        <v/>
      </c>
      <c r="V235">
        <f>IF(G235="","",Settings!$C$4+SUM($U$2:U235))</f>
        <v/>
      </c>
    </row>
    <row r="236">
      <c r="A236">
        <f>IF(G236="","",ROW()-1)</f>
        <v/>
      </c>
      <c r="B236" s="8" t="n"/>
      <c r="G236" s="3" t="n"/>
      <c r="H236" s="3" t="n"/>
      <c r="I236" s="3" t="n"/>
      <c r="J236" s="3" t="n"/>
      <c r="K236" s="3" t="n"/>
      <c r="L236" s="3" t="n"/>
      <c r="M236" s="3">
        <f>IF(G236="","",G236*H236)</f>
        <v/>
      </c>
      <c r="N236" s="3">
        <f>IF(G236="","",Settings!$C$5)</f>
        <v/>
      </c>
      <c r="O236" s="3">
        <f>IF(G236="","",IF(F236="SELL",M236*IF(E236="Equity Intraday",Settings!$C$8,Settings!$C$7),0))</f>
        <v/>
      </c>
      <c r="P236" s="3">
        <f>IF(G236="","",M236*(Settings!$C$9+Settings!$C$10))</f>
        <v/>
      </c>
      <c r="Q236" s="3">
        <f>IF(G236="","",IF(F236="BUY",M236*Settings!$C$11,0))</f>
        <v/>
      </c>
      <c r="R236" s="3">
        <f>IF(G236="","",N236*Settings!$C$6)</f>
        <v/>
      </c>
      <c r="S236" s="3">
        <f>IF(G236="","",IF(AND(F236="SELL",E236="Equity Delivery"),Settings!$C$13,0))</f>
        <v/>
      </c>
      <c r="T236" s="3">
        <f>IF(G236="","",SUM(N236:S236))</f>
        <v/>
      </c>
      <c r="U236" s="3">
        <f>IF(G236="","",IF(F236="BUY",-(M236+T236),M236-T236))</f>
        <v/>
      </c>
      <c r="V236">
        <f>IF(G236="","",Settings!$C$4+SUM($U$2:U236))</f>
        <v/>
      </c>
    </row>
    <row r="237">
      <c r="A237">
        <f>IF(G237="","",ROW()-1)</f>
        <v/>
      </c>
      <c r="B237" s="8" t="n"/>
      <c r="G237" s="3" t="n"/>
      <c r="H237" s="3" t="n"/>
      <c r="I237" s="3" t="n"/>
      <c r="J237" s="3" t="n"/>
      <c r="K237" s="3" t="n"/>
      <c r="L237" s="3" t="n"/>
      <c r="M237" s="3">
        <f>IF(G237="","",G237*H237)</f>
        <v/>
      </c>
      <c r="N237" s="3">
        <f>IF(G237="","",Settings!$C$5)</f>
        <v/>
      </c>
      <c r="O237" s="3">
        <f>IF(G237="","",IF(F237="SELL",M237*IF(E237="Equity Intraday",Settings!$C$8,Settings!$C$7),0))</f>
        <v/>
      </c>
      <c r="P237" s="3">
        <f>IF(G237="","",M237*(Settings!$C$9+Settings!$C$10))</f>
        <v/>
      </c>
      <c r="Q237" s="3">
        <f>IF(G237="","",IF(F237="BUY",M237*Settings!$C$11,0))</f>
        <v/>
      </c>
      <c r="R237" s="3">
        <f>IF(G237="","",N237*Settings!$C$6)</f>
        <v/>
      </c>
      <c r="S237" s="3">
        <f>IF(G237="","",IF(AND(F237="SELL",E237="Equity Delivery"),Settings!$C$13,0))</f>
        <v/>
      </c>
      <c r="T237" s="3">
        <f>IF(G237="","",SUM(N237:S237))</f>
        <v/>
      </c>
      <c r="U237" s="3">
        <f>IF(G237="","",IF(F237="BUY",-(M237+T237),M237-T237))</f>
        <v/>
      </c>
      <c r="V237">
        <f>IF(G237="","",Settings!$C$4+SUM($U$2:U237))</f>
        <v/>
      </c>
    </row>
    <row r="238">
      <c r="A238">
        <f>IF(G238="","",ROW()-1)</f>
        <v/>
      </c>
      <c r="B238" s="8" t="n"/>
      <c r="G238" s="3" t="n"/>
      <c r="H238" s="3" t="n"/>
      <c r="I238" s="3" t="n"/>
      <c r="J238" s="3" t="n"/>
      <c r="K238" s="3" t="n"/>
      <c r="L238" s="3" t="n"/>
      <c r="M238" s="3">
        <f>IF(G238="","",G238*H238)</f>
        <v/>
      </c>
      <c r="N238" s="3">
        <f>IF(G238="","",Settings!$C$5)</f>
        <v/>
      </c>
      <c r="O238" s="3">
        <f>IF(G238="","",IF(F238="SELL",M238*IF(E238="Equity Intraday",Settings!$C$8,Settings!$C$7),0))</f>
        <v/>
      </c>
      <c r="P238" s="3">
        <f>IF(G238="","",M238*(Settings!$C$9+Settings!$C$10))</f>
        <v/>
      </c>
      <c r="Q238" s="3">
        <f>IF(G238="","",IF(F238="BUY",M238*Settings!$C$11,0))</f>
        <v/>
      </c>
      <c r="R238" s="3">
        <f>IF(G238="","",N238*Settings!$C$6)</f>
        <v/>
      </c>
      <c r="S238" s="3">
        <f>IF(G238="","",IF(AND(F238="SELL",E238="Equity Delivery"),Settings!$C$13,0))</f>
        <v/>
      </c>
      <c r="T238" s="3">
        <f>IF(G238="","",SUM(N238:S238))</f>
        <v/>
      </c>
      <c r="U238" s="3">
        <f>IF(G238="","",IF(F238="BUY",-(M238+T238),M238-T238))</f>
        <v/>
      </c>
      <c r="V238">
        <f>IF(G238="","",Settings!$C$4+SUM($U$2:U238))</f>
        <v/>
      </c>
    </row>
    <row r="239">
      <c r="A239">
        <f>IF(G239="","",ROW()-1)</f>
        <v/>
      </c>
      <c r="B239" s="8" t="n"/>
      <c r="G239" s="3" t="n"/>
      <c r="H239" s="3" t="n"/>
      <c r="I239" s="3" t="n"/>
      <c r="J239" s="3" t="n"/>
      <c r="K239" s="3" t="n"/>
      <c r="L239" s="3" t="n"/>
      <c r="M239" s="3">
        <f>IF(G239="","",G239*H239)</f>
        <v/>
      </c>
      <c r="N239" s="3">
        <f>IF(G239="","",Settings!$C$5)</f>
        <v/>
      </c>
      <c r="O239" s="3">
        <f>IF(G239="","",IF(F239="SELL",M239*IF(E239="Equity Intraday",Settings!$C$8,Settings!$C$7),0))</f>
        <v/>
      </c>
      <c r="P239" s="3">
        <f>IF(G239="","",M239*(Settings!$C$9+Settings!$C$10))</f>
        <v/>
      </c>
      <c r="Q239" s="3">
        <f>IF(G239="","",IF(F239="BUY",M239*Settings!$C$11,0))</f>
        <v/>
      </c>
      <c r="R239" s="3">
        <f>IF(G239="","",N239*Settings!$C$6)</f>
        <v/>
      </c>
      <c r="S239" s="3">
        <f>IF(G239="","",IF(AND(F239="SELL",E239="Equity Delivery"),Settings!$C$13,0))</f>
        <v/>
      </c>
      <c r="T239" s="3">
        <f>IF(G239="","",SUM(N239:S239))</f>
        <v/>
      </c>
      <c r="U239" s="3">
        <f>IF(G239="","",IF(F239="BUY",-(M239+T239),M239-T239))</f>
        <v/>
      </c>
      <c r="V239">
        <f>IF(G239="","",Settings!$C$4+SUM($U$2:U239))</f>
        <v/>
      </c>
    </row>
    <row r="240">
      <c r="A240">
        <f>IF(G240="","",ROW()-1)</f>
        <v/>
      </c>
      <c r="B240" s="8" t="n"/>
      <c r="G240" s="3" t="n"/>
      <c r="H240" s="3" t="n"/>
      <c r="I240" s="3" t="n"/>
      <c r="J240" s="3" t="n"/>
      <c r="K240" s="3" t="n"/>
      <c r="L240" s="3" t="n"/>
      <c r="M240" s="3">
        <f>IF(G240="","",G240*H240)</f>
        <v/>
      </c>
      <c r="N240" s="3">
        <f>IF(G240="","",Settings!$C$5)</f>
        <v/>
      </c>
      <c r="O240" s="3">
        <f>IF(G240="","",IF(F240="SELL",M240*IF(E240="Equity Intraday",Settings!$C$8,Settings!$C$7),0))</f>
        <v/>
      </c>
      <c r="P240" s="3">
        <f>IF(G240="","",M240*(Settings!$C$9+Settings!$C$10))</f>
        <v/>
      </c>
      <c r="Q240" s="3">
        <f>IF(G240="","",IF(F240="BUY",M240*Settings!$C$11,0))</f>
        <v/>
      </c>
      <c r="R240" s="3">
        <f>IF(G240="","",N240*Settings!$C$6)</f>
        <v/>
      </c>
      <c r="S240" s="3">
        <f>IF(G240="","",IF(AND(F240="SELL",E240="Equity Delivery"),Settings!$C$13,0))</f>
        <v/>
      </c>
      <c r="T240" s="3">
        <f>IF(G240="","",SUM(N240:S240))</f>
        <v/>
      </c>
      <c r="U240" s="3">
        <f>IF(G240="","",IF(F240="BUY",-(M240+T240),M240-T240))</f>
        <v/>
      </c>
      <c r="V240">
        <f>IF(G240="","",Settings!$C$4+SUM($U$2:U240))</f>
        <v/>
      </c>
    </row>
    <row r="241">
      <c r="A241">
        <f>IF(G241="","",ROW()-1)</f>
        <v/>
      </c>
      <c r="B241" s="8" t="n"/>
      <c r="G241" s="3" t="n"/>
      <c r="H241" s="3" t="n"/>
      <c r="I241" s="3" t="n"/>
      <c r="J241" s="3" t="n"/>
      <c r="K241" s="3" t="n"/>
      <c r="L241" s="3" t="n"/>
      <c r="M241" s="3">
        <f>IF(G241="","",G241*H241)</f>
        <v/>
      </c>
      <c r="N241" s="3">
        <f>IF(G241="","",Settings!$C$5)</f>
        <v/>
      </c>
      <c r="O241" s="3">
        <f>IF(G241="","",IF(F241="SELL",M241*IF(E241="Equity Intraday",Settings!$C$8,Settings!$C$7),0))</f>
        <v/>
      </c>
      <c r="P241" s="3">
        <f>IF(G241="","",M241*(Settings!$C$9+Settings!$C$10))</f>
        <v/>
      </c>
      <c r="Q241" s="3">
        <f>IF(G241="","",IF(F241="BUY",M241*Settings!$C$11,0))</f>
        <v/>
      </c>
      <c r="R241" s="3">
        <f>IF(G241="","",N241*Settings!$C$6)</f>
        <v/>
      </c>
      <c r="S241" s="3">
        <f>IF(G241="","",IF(AND(F241="SELL",E241="Equity Delivery"),Settings!$C$13,0))</f>
        <v/>
      </c>
      <c r="T241" s="3">
        <f>IF(G241="","",SUM(N241:S241))</f>
        <v/>
      </c>
      <c r="U241" s="3">
        <f>IF(G241="","",IF(F241="BUY",-(M241+T241),M241-T241))</f>
        <v/>
      </c>
      <c r="V241">
        <f>IF(G241="","",Settings!$C$4+SUM($U$2:U241))</f>
        <v/>
      </c>
    </row>
    <row r="242">
      <c r="A242">
        <f>IF(G242="","",ROW()-1)</f>
        <v/>
      </c>
      <c r="B242" s="8" t="n"/>
      <c r="G242" s="3" t="n"/>
      <c r="H242" s="3" t="n"/>
      <c r="I242" s="3" t="n"/>
      <c r="J242" s="3" t="n"/>
      <c r="K242" s="3" t="n"/>
      <c r="L242" s="3" t="n"/>
      <c r="M242" s="3">
        <f>IF(G242="","",G242*H242)</f>
        <v/>
      </c>
      <c r="N242" s="3">
        <f>IF(G242="","",Settings!$C$5)</f>
        <v/>
      </c>
      <c r="O242" s="3">
        <f>IF(G242="","",IF(F242="SELL",M242*IF(E242="Equity Intraday",Settings!$C$8,Settings!$C$7),0))</f>
        <v/>
      </c>
      <c r="P242" s="3">
        <f>IF(G242="","",M242*(Settings!$C$9+Settings!$C$10))</f>
        <v/>
      </c>
      <c r="Q242" s="3">
        <f>IF(G242="","",IF(F242="BUY",M242*Settings!$C$11,0))</f>
        <v/>
      </c>
      <c r="R242" s="3">
        <f>IF(G242="","",N242*Settings!$C$6)</f>
        <v/>
      </c>
      <c r="S242" s="3">
        <f>IF(G242="","",IF(AND(F242="SELL",E242="Equity Delivery"),Settings!$C$13,0))</f>
        <v/>
      </c>
      <c r="T242" s="3">
        <f>IF(G242="","",SUM(N242:S242))</f>
        <v/>
      </c>
      <c r="U242" s="3">
        <f>IF(G242="","",IF(F242="BUY",-(M242+T242),M242-T242))</f>
        <v/>
      </c>
      <c r="V242">
        <f>IF(G242="","",Settings!$C$4+SUM($U$2:U242))</f>
        <v/>
      </c>
    </row>
    <row r="243">
      <c r="A243">
        <f>IF(G243="","",ROW()-1)</f>
        <v/>
      </c>
      <c r="B243" s="8" t="n"/>
      <c r="G243" s="3" t="n"/>
      <c r="H243" s="3" t="n"/>
      <c r="I243" s="3" t="n"/>
      <c r="J243" s="3" t="n"/>
      <c r="K243" s="3" t="n"/>
      <c r="L243" s="3" t="n"/>
      <c r="M243" s="3">
        <f>IF(G243="","",G243*H243)</f>
        <v/>
      </c>
      <c r="N243" s="3">
        <f>IF(G243="","",Settings!$C$5)</f>
        <v/>
      </c>
      <c r="O243" s="3">
        <f>IF(G243="","",IF(F243="SELL",M243*IF(E243="Equity Intraday",Settings!$C$8,Settings!$C$7),0))</f>
        <v/>
      </c>
      <c r="P243" s="3">
        <f>IF(G243="","",M243*(Settings!$C$9+Settings!$C$10))</f>
        <v/>
      </c>
      <c r="Q243" s="3">
        <f>IF(G243="","",IF(F243="BUY",M243*Settings!$C$11,0))</f>
        <v/>
      </c>
      <c r="R243" s="3">
        <f>IF(G243="","",N243*Settings!$C$6)</f>
        <v/>
      </c>
      <c r="S243" s="3">
        <f>IF(G243="","",IF(AND(F243="SELL",E243="Equity Delivery"),Settings!$C$13,0))</f>
        <v/>
      </c>
      <c r="T243" s="3">
        <f>IF(G243="","",SUM(N243:S243))</f>
        <v/>
      </c>
      <c r="U243" s="3">
        <f>IF(G243="","",IF(F243="BUY",-(M243+T243),M243-T243))</f>
        <v/>
      </c>
      <c r="V243">
        <f>IF(G243="","",Settings!$C$4+SUM($U$2:U243))</f>
        <v/>
      </c>
    </row>
    <row r="244">
      <c r="A244">
        <f>IF(G244="","",ROW()-1)</f>
        <v/>
      </c>
      <c r="B244" s="8" t="n"/>
      <c r="G244" s="3" t="n"/>
      <c r="H244" s="3" t="n"/>
      <c r="I244" s="3" t="n"/>
      <c r="J244" s="3" t="n"/>
      <c r="K244" s="3" t="n"/>
      <c r="L244" s="3" t="n"/>
      <c r="M244" s="3">
        <f>IF(G244="","",G244*H244)</f>
        <v/>
      </c>
      <c r="N244" s="3">
        <f>IF(G244="","",Settings!$C$5)</f>
        <v/>
      </c>
      <c r="O244" s="3">
        <f>IF(G244="","",IF(F244="SELL",M244*IF(E244="Equity Intraday",Settings!$C$8,Settings!$C$7),0))</f>
        <v/>
      </c>
      <c r="P244" s="3">
        <f>IF(G244="","",M244*(Settings!$C$9+Settings!$C$10))</f>
        <v/>
      </c>
      <c r="Q244" s="3">
        <f>IF(G244="","",IF(F244="BUY",M244*Settings!$C$11,0))</f>
        <v/>
      </c>
      <c r="R244" s="3">
        <f>IF(G244="","",N244*Settings!$C$6)</f>
        <v/>
      </c>
      <c r="S244" s="3">
        <f>IF(G244="","",IF(AND(F244="SELL",E244="Equity Delivery"),Settings!$C$13,0))</f>
        <v/>
      </c>
      <c r="T244" s="3">
        <f>IF(G244="","",SUM(N244:S244))</f>
        <v/>
      </c>
      <c r="U244" s="3">
        <f>IF(G244="","",IF(F244="BUY",-(M244+T244),M244-T244))</f>
        <v/>
      </c>
      <c r="V244">
        <f>IF(G244="","",Settings!$C$4+SUM($U$2:U244))</f>
        <v/>
      </c>
    </row>
    <row r="245">
      <c r="A245">
        <f>IF(G245="","",ROW()-1)</f>
        <v/>
      </c>
      <c r="B245" s="8" t="n"/>
      <c r="G245" s="3" t="n"/>
      <c r="H245" s="3" t="n"/>
      <c r="I245" s="3" t="n"/>
      <c r="J245" s="3" t="n"/>
      <c r="K245" s="3" t="n"/>
      <c r="L245" s="3" t="n"/>
      <c r="M245" s="3">
        <f>IF(G245="","",G245*H245)</f>
        <v/>
      </c>
      <c r="N245" s="3">
        <f>IF(G245="","",Settings!$C$5)</f>
        <v/>
      </c>
      <c r="O245" s="3">
        <f>IF(G245="","",IF(F245="SELL",M245*IF(E245="Equity Intraday",Settings!$C$8,Settings!$C$7),0))</f>
        <v/>
      </c>
      <c r="P245" s="3">
        <f>IF(G245="","",M245*(Settings!$C$9+Settings!$C$10))</f>
        <v/>
      </c>
      <c r="Q245" s="3">
        <f>IF(G245="","",IF(F245="BUY",M245*Settings!$C$11,0))</f>
        <v/>
      </c>
      <c r="R245" s="3">
        <f>IF(G245="","",N245*Settings!$C$6)</f>
        <v/>
      </c>
      <c r="S245" s="3">
        <f>IF(G245="","",IF(AND(F245="SELL",E245="Equity Delivery"),Settings!$C$13,0))</f>
        <v/>
      </c>
      <c r="T245" s="3">
        <f>IF(G245="","",SUM(N245:S245))</f>
        <v/>
      </c>
      <c r="U245" s="3">
        <f>IF(G245="","",IF(F245="BUY",-(M245+T245),M245-T245))</f>
        <v/>
      </c>
      <c r="V245">
        <f>IF(G245="","",Settings!$C$4+SUM($U$2:U245))</f>
        <v/>
      </c>
    </row>
    <row r="246">
      <c r="A246">
        <f>IF(G246="","",ROW()-1)</f>
        <v/>
      </c>
      <c r="B246" s="8" t="n"/>
      <c r="G246" s="3" t="n"/>
      <c r="H246" s="3" t="n"/>
      <c r="I246" s="3" t="n"/>
      <c r="J246" s="3" t="n"/>
      <c r="K246" s="3" t="n"/>
      <c r="L246" s="3" t="n"/>
      <c r="M246" s="3">
        <f>IF(G246="","",G246*H246)</f>
        <v/>
      </c>
      <c r="N246" s="3">
        <f>IF(G246="","",Settings!$C$5)</f>
        <v/>
      </c>
      <c r="O246" s="3">
        <f>IF(G246="","",IF(F246="SELL",M246*IF(E246="Equity Intraday",Settings!$C$8,Settings!$C$7),0))</f>
        <v/>
      </c>
      <c r="P246" s="3">
        <f>IF(G246="","",M246*(Settings!$C$9+Settings!$C$10))</f>
        <v/>
      </c>
      <c r="Q246" s="3">
        <f>IF(G246="","",IF(F246="BUY",M246*Settings!$C$11,0))</f>
        <v/>
      </c>
      <c r="R246" s="3">
        <f>IF(G246="","",N246*Settings!$C$6)</f>
        <v/>
      </c>
      <c r="S246" s="3">
        <f>IF(G246="","",IF(AND(F246="SELL",E246="Equity Delivery"),Settings!$C$13,0))</f>
        <v/>
      </c>
      <c r="T246" s="3">
        <f>IF(G246="","",SUM(N246:S246))</f>
        <v/>
      </c>
      <c r="U246" s="3">
        <f>IF(G246="","",IF(F246="BUY",-(M246+T246),M246-T246))</f>
        <v/>
      </c>
      <c r="V246">
        <f>IF(G246="","",Settings!$C$4+SUM($U$2:U246))</f>
        <v/>
      </c>
    </row>
    <row r="247">
      <c r="A247">
        <f>IF(G247="","",ROW()-1)</f>
        <v/>
      </c>
      <c r="B247" s="8" t="n"/>
      <c r="G247" s="3" t="n"/>
      <c r="H247" s="3" t="n"/>
      <c r="I247" s="3" t="n"/>
      <c r="J247" s="3" t="n"/>
      <c r="K247" s="3" t="n"/>
      <c r="L247" s="3" t="n"/>
      <c r="M247" s="3">
        <f>IF(G247="","",G247*H247)</f>
        <v/>
      </c>
      <c r="N247" s="3">
        <f>IF(G247="","",Settings!$C$5)</f>
        <v/>
      </c>
      <c r="O247" s="3">
        <f>IF(G247="","",IF(F247="SELL",M247*IF(E247="Equity Intraday",Settings!$C$8,Settings!$C$7),0))</f>
        <v/>
      </c>
      <c r="P247" s="3">
        <f>IF(G247="","",M247*(Settings!$C$9+Settings!$C$10))</f>
        <v/>
      </c>
      <c r="Q247" s="3">
        <f>IF(G247="","",IF(F247="BUY",M247*Settings!$C$11,0))</f>
        <v/>
      </c>
      <c r="R247" s="3">
        <f>IF(G247="","",N247*Settings!$C$6)</f>
        <v/>
      </c>
      <c r="S247" s="3">
        <f>IF(G247="","",IF(AND(F247="SELL",E247="Equity Delivery"),Settings!$C$13,0))</f>
        <v/>
      </c>
      <c r="T247" s="3">
        <f>IF(G247="","",SUM(N247:S247))</f>
        <v/>
      </c>
      <c r="U247" s="3">
        <f>IF(G247="","",IF(F247="BUY",-(M247+T247),M247-T247))</f>
        <v/>
      </c>
      <c r="V247">
        <f>IF(G247="","",Settings!$C$4+SUM($U$2:U247))</f>
        <v/>
      </c>
    </row>
    <row r="248">
      <c r="A248">
        <f>IF(G248="","",ROW()-1)</f>
        <v/>
      </c>
      <c r="B248" s="8" t="n"/>
      <c r="G248" s="3" t="n"/>
      <c r="H248" s="3" t="n"/>
      <c r="I248" s="3" t="n"/>
      <c r="J248" s="3" t="n"/>
      <c r="K248" s="3" t="n"/>
      <c r="L248" s="3" t="n"/>
      <c r="M248" s="3">
        <f>IF(G248="","",G248*H248)</f>
        <v/>
      </c>
      <c r="N248" s="3">
        <f>IF(G248="","",Settings!$C$5)</f>
        <v/>
      </c>
      <c r="O248" s="3">
        <f>IF(G248="","",IF(F248="SELL",M248*IF(E248="Equity Intraday",Settings!$C$8,Settings!$C$7),0))</f>
        <v/>
      </c>
      <c r="P248" s="3">
        <f>IF(G248="","",M248*(Settings!$C$9+Settings!$C$10))</f>
        <v/>
      </c>
      <c r="Q248" s="3">
        <f>IF(G248="","",IF(F248="BUY",M248*Settings!$C$11,0))</f>
        <v/>
      </c>
      <c r="R248" s="3">
        <f>IF(G248="","",N248*Settings!$C$6)</f>
        <v/>
      </c>
      <c r="S248" s="3">
        <f>IF(G248="","",IF(AND(F248="SELL",E248="Equity Delivery"),Settings!$C$13,0))</f>
        <v/>
      </c>
      <c r="T248" s="3">
        <f>IF(G248="","",SUM(N248:S248))</f>
        <v/>
      </c>
      <c r="U248" s="3">
        <f>IF(G248="","",IF(F248="BUY",-(M248+T248),M248-T248))</f>
        <v/>
      </c>
      <c r="V248">
        <f>IF(G248="","",Settings!$C$4+SUM($U$2:U248))</f>
        <v/>
      </c>
    </row>
    <row r="249">
      <c r="A249">
        <f>IF(G249="","",ROW()-1)</f>
        <v/>
      </c>
      <c r="B249" s="8" t="n"/>
      <c r="G249" s="3" t="n"/>
      <c r="H249" s="3" t="n"/>
      <c r="I249" s="3" t="n"/>
      <c r="J249" s="3" t="n"/>
      <c r="K249" s="3" t="n"/>
      <c r="L249" s="3" t="n"/>
      <c r="M249" s="3">
        <f>IF(G249="","",G249*H249)</f>
        <v/>
      </c>
      <c r="N249" s="3">
        <f>IF(G249="","",Settings!$C$5)</f>
        <v/>
      </c>
      <c r="O249" s="3">
        <f>IF(G249="","",IF(F249="SELL",M249*IF(E249="Equity Intraday",Settings!$C$8,Settings!$C$7),0))</f>
        <v/>
      </c>
      <c r="P249" s="3">
        <f>IF(G249="","",M249*(Settings!$C$9+Settings!$C$10))</f>
        <v/>
      </c>
      <c r="Q249" s="3">
        <f>IF(G249="","",IF(F249="BUY",M249*Settings!$C$11,0))</f>
        <v/>
      </c>
      <c r="R249" s="3">
        <f>IF(G249="","",N249*Settings!$C$6)</f>
        <v/>
      </c>
      <c r="S249" s="3">
        <f>IF(G249="","",IF(AND(F249="SELL",E249="Equity Delivery"),Settings!$C$13,0))</f>
        <v/>
      </c>
      <c r="T249" s="3">
        <f>IF(G249="","",SUM(N249:S249))</f>
        <v/>
      </c>
      <c r="U249" s="3">
        <f>IF(G249="","",IF(F249="BUY",-(M249+T249),M249-T249))</f>
        <v/>
      </c>
      <c r="V249">
        <f>IF(G249="","",Settings!$C$4+SUM($U$2:U249))</f>
        <v/>
      </c>
    </row>
    <row r="250">
      <c r="A250">
        <f>IF(G250="","",ROW()-1)</f>
        <v/>
      </c>
      <c r="B250" s="8" t="n"/>
      <c r="G250" s="3" t="n"/>
      <c r="H250" s="3" t="n"/>
      <c r="I250" s="3" t="n"/>
      <c r="J250" s="3" t="n"/>
      <c r="K250" s="3" t="n"/>
      <c r="L250" s="3" t="n"/>
      <c r="M250" s="3">
        <f>IF(G250="","",G250*H250)</f>
        <v/>
      </c>
      <c r="N250" s="3">
        <f>IF(G250="","",Settings!$C$5)</f>
        <v/>
      </c>
      <c r="O250" s="3">
        <f>IF(G250="","",IF(F250="SELL",M250*IF(E250="Equity Intraday",Settings!$C$8,Settings!$C$7),0))</f>
        <v/>
      </c>
      <c r="P250" s="3">
        <f>IF(G250="","",M250*(Settings!$C$9+Settings!$C$10))</f>
        <v/>
      </c>
      <c r="Q250" s="3">
        <f>IF(G250="","",IF(F250="BUY",M250*Settings!$C$11,0))</f>
        <v/>
      </c>
      <c r="R250" s="3">
        <f>IF(G250="","",N250*Settings!$C$6)</f>
        <v/>
      </c>
      <c r="S250" s="3">
        <f>IF(G250="","",IF(AND(F250="SELL",E250="Equity Delivery"),Settings!$C$13,0))</f>
        <v/>
      </c>
      <c r="T250" s="3">
        <f>IF(G250="","",SUM(N250:S250))</f>
        <v/>
      </c>
      <c r="U250" s="3">
        <f>IF(G250="","",IF(F250="BUY",-(M250+T250),M250-T250))</f>
        <v/>
      </c>
      <c r="V250">
        <f>IF(G250="","",Settings!$C$4+SUM($U$2:U250))</f>
        <v/>
      </c>
    </row>
    <row r="251">
      <c r="A251">
        <f>IF(G251="","",ROW()-1)</f>
        <v/>
      </c>
      <c r="B251" s="8" t="n"/>
      <c r="G251" s="3" t="n"/>
      <c r="H251" s="3" t="n"/>
      <c r="I251" s="3" t="n"/>
      <c r="J251" s="3" t="n"/>
      <c r="K251" s="3" t="n"/>
      <c r="L251" s="3" t="n"/>
      <c r="M251" s="3">
        <f>IF(G251="","",G251*H251)</f>
        <v/>
      </c>
      <c r="N251" s="3">
        <f>IF(G251="","",Settings!$C$5)</f>
        <v/>
      </c>
      <c r="O251" s="3">
        <f>IF(G251="","",IF(F251="SELL",M251*IF(E251="Equity Intraday",Settings!$C$8,Settings!$C$7),0))</f>
        <v/>
      </c>
      <c r="P251" s="3">
        <f>IF(G251="","",M251*(Settings!$C$9+Settings!$C$10))</f>
        <v/>
      </c>
      <c r="Q251" s="3">
        <f>IF(G251="","",IF(F251="BUY",M251*Settings!$C$11,0))</f>
        <v/>
      </c>
      <c r="R251" s="3">
        <f>IF(G251="","",N251*Settings!$C$6)</f>
        <v/>
      </c>
      <c r="S251" s="3">
        <f>IF(G251="","",IF(AND(F251="SELL",E251="Equity Delivery"),Settings!$C$13,0))</f>
        <v/>
      </c>
      <c r="T251" s="3">
        <f>IF(G251="","",SUM(N251:S251))</f>
        <v/>
      </c>
      <c r="U251" s="3">
        <f>IF(G251="","",IF(F251="BUY",-(M251+T251),M251-T251))</f>
        <v/>
      </c>
      <c r="V251">
        <f>IF(G251="","",Settings!$C$4+SUM($U$2:U251))</f>
        <v/>
      </c>
    </row>
    <row r="252">
      <c r="A252">
        <f>IF(G252="","",ROW()-1)</f>
        <v/>
      </c>
      <c r="B252" s="8" t="n"/>
      <c r="G252" s="3" t="n"/>
      <c r="H252" s="3" t="n"/>
      <c r="I252" s="3" t="n"/>
      <c r="J252" s="3" t="n"/>
      <c r="K252" s="3" t="n"/>
      <c r="L252" s="3" t="n"/>
      <c r="M252" s="3">
        <f>IF(G252="","",G252*H252)</f>
        <v/>
      </c>
      <c r="N252" s="3">
        <f>IF(G252="","",Settings!$C$5)</f>
        <v/>
      </c>
      <c r="O252" s="3">
        <f>IF(G252="","",IF(F252="SELL",M252*IF(E252="Equity Intraday",Settings!$C$8,Settings!$C$7),0))</f>
        <v/>
      </c>
      <c r="P252" s="3">
        <f>IF(G252="","",M252*(Settings!$C$9+Settings!$C$10))</f>
        <v/>
      </c>
      <c r="Q252" s="3">
        <f>IF(G252="","",IF(F252="BUY",M252*Settings!$C$11,0))</f>
        <v/>
      </c>
      <c r="R252" s="3">
        <f>IF(G252="","",N252*Settings!$C$6)</f>
        <v/>
      </c>
      <c r="S252" s="3">
        <f>IF(G252="","",IF(AND(F252="SELL",E252="Equity Delivery"),Settings!$C$13,0))</f>
        <v/>
      </c>
      <c r="T252" s="3">
        <f>IF(G252="","",SUM(N252:S252))</f>
        <v/>
      </c>
      <c r="U252" s="3">
        <f>IF(G252="","",IF(F252="BUY",-(M252+T252),M252-T252))</f>
        <v/>
      </c>
      <c r="V252">
        <f>IF(G252="","",Settings!$C$4+SUM($U$2:U252))</f>
        <v/>
      </c>
    </row>
    <row r="253">
      <c r="A253">
        <f>IF(G253="","",ROW()-1)</f>
        <v/>
      </c>
      <c r="B253" s="8" t="n"/>
      <c r="G253" s="3" t="n"/>
      <c r="H253" s="3" t="n"/>
      <c r="I253" s="3" t="n"/>
      <c r="J253" s="3" t="n"/>
      <c r="K253" s="3" t="n"/>
      <c r="L253" s="3" t="n"/>
      <c r="M253" s="3">
        <f>IF(G253="","",G253*H253)</f>
        <v/>
      </c>
      <c r="N253" s="3">
        <f>IF(G253="","",Settings!$C$5)</f>
        <v/>
      </c>
      <c r="O253" s="3">
        <f>IF(G253="","",IF(F253="SELL",M253*IF(E253="Equity Intraday",Settings!$C$8,Settings!$C$7),0))</f>
        <v/>
      </c>
      <c r="P253" s="3">
        <f>IF(G253="","",M253*(Settings!$C$9+Settings!$C$10))</f>
        <v/>
      </c>
      <c r="Q253" s="3">
        <f>IF(G253="","",IF(F253="BUY",M253*Settings!$C$11,0))</f>
        <v/>
      </c>
      <c r="R253" s="3">
        <f>IF(G253="","",N253*Settings!$C$6)</f>
        <v/>
      </c>
      <c r="S253" s="3">
        <f>IF(G253="","",IF(AND(F253="SELL",E253="Equity Delivery"),Settings!$C$13,0))</f>
        <v/>
      </c>
      <c r="T253" s="3">
        <f>IF(G253="","",SUM(N253:S253))</f>
        <v/>
      </c>
      <c r="U253" s="3">
        <f>IF(G253="","",IF(F253="BUY",-(M253+T253),M253-T253))</f>
        <v/>
      </c>
      <c r="V253">
        <f>IF(G253="","",Settings!$C$4+SUM($U$2:U253))</f>
        <v/>
      </c>
    </row>
    <row r="254">
      <c r="A254">
        <f>IF(G254="","",ROW()-1)</f>
        <v/>
      </c>
      <c r="B254" s="8" t="n"/>
      <c r="G254" s="3" t="n"/>
      <c r="H254" s="3" t="n"/>
      <c r="I254" s="3" t="n"/>
      <c r="J254" s="3" t="n"/>
      <c r="K254" s="3" t="n"/>
      <c r="L254" s="3" t="n"/>
      <c r="M254" s="3">
        <f>IF(G254="","",G254*H254)</f>
        <v/>
      </c>
      <c r="N254" s="3">
        <f>IF(G254="","",Settings!$C$5)</f>
        <v/>
      </c>
      <c r="O254" s="3">
        <f>IF(G254="","",IF(F254="SELL",M254*IF(E254="Equity Intraday",Settings!$C$8,Settings!$C$7),0))</f>
        <v/>
      </c>
      <c r="P254" s="3">
        <f>IF(G254="","",M254*(Settings!$C$9+Settings!$C$10))</f>
        <v/>
      </c>
      <c r="Q254" s="3">
        <f>IF(G254="","",IF(F254="BUY",M254*Settings!$C$11,0))</f>
        <v/>
      </c>
      <c r="R254" s="3">
        <f>IF(G254="","",N254*Settings!$C$6)</f>
        <v/>
      </c>
      <c r="S254" s="3">
        <f>IF(G254="","",IF(AND(F254="SELL",E254="Equity Delivery"),Settings!$C$13,0))</f>
        <v/>
      </c>
      <c r="T254" s="3">
        <f>IF(G254="","",SUM(N254:S254))</f>
        <v/>
      </c>
      <c r="U254" s="3">
        <f>IF(G254="","",IF(F254="BUY",-(M254+T254),M254-T254))</f>
        <v/>
      </c>
      <c r="V254">
        <f>IF(G254="","",Settings!$C$4+SUM($U$2:U254))</f>
        <v/>
      </c>
    </row>
    <row r="255">
      <c r="A255">
        <f>IF(G255="","",ROW()-1)</f>
        <v/>
      </c>
      <c r="B255" s="8" t="n"/>
      <c r="G255" s="3" t="n"/>
      <c r="H255" s="3" t="n"/>
      <c r="I255" s="3" t="n"/>
      <c r="J255" s="3" t="n"/>
      <c r="K255" s="3" t="n"/>
      <c r="L255" s="3" t="n"/>
      <c r="M255" s="3">
        <f>IF(G255="","",G255*H255)</f>
        <v/>
      </c>
      <c r="N255" s="3">
        <f>IF(G255="","",Settings!$C$5)</f>
        <v/>
      </c>
      <c r="O255" s="3">
        <f>IF(G255="","",IF(F255="SELL",M255*IF(E255="Equity Intraday",Settings!$C$8,Settings!$C$7),0))</f>
        <v/>
      </c>
      <c r="P255" s="3">
        <f>IF(G255="","",M255*(Settings!$C$9+Settings!$C$10))</f>
        <v/>
      </c>
      <c r="Q255" s="3">
        <f>IF(G255="","",IF(F255="BUY",M255*Settings!$C$11,0))</f>
        <v/>
      </c>
      <c r="R255" s="3">
        <f>IF(G255="","",N255*Settings!$C$6)</f>
        <v/>
      </c>
      <c r="S255" s="3">
        <f>IF(G255="","",IF(AND(F255="SELL",E255="Equity Delivery"),Settings!$C$13,0))</f>
        <v/>
      </c>
      <c r="T255" s="3">
        <f>IF(G255="","",SUM(N255:S255))</f>
        <v/>
      </c>
      <c r="U255" s="3">
        <f>IF(G255="","",IF(F255="BUY",-(M255+T255),M255-T255))</f>
        <v/>
      </c>
      <c r="V255">
        <f>IF(G255="","",Settings!$C$4+SUM($U$2:U255))</f>
        <v/>
      </c>
    </row>
    <row r="256">
      <c r="A256">
        <f>IF(G256="","",ROW()-1)</f>
        <v/>
      </c>
      <c r="B256" s="8" t="n"/>
      <c r="G256" s="3" t="n"/>
      <c r="H256" s="3" t="n"/>
      <c r="I256" s="3" t="n"/>
      <c r="J256" s="3" t="n"/>
      <c r="K256" s="3" t="n"/>
      <c r="L256" s="3" t="n"/>
      <c r="M256" s="3">
        <f>IF(G256="","",G256*H256)</f>
        <v/>
      </c>
      <c r="N256" s="3">
        <f>IF(G256="","",Settings!$C$5)</f>
        <v/>
      </c>
      <c r="O256" s="3">
        <f>IF(G256="","",IF(F256="SELL",M256*IF(E256="Equity Intraday",Settings!$C$8,Settings!$C$7),0))</f>
        <v/>
      </c>
      <c r="P256" s="3">
        <f>IF(G256="","",M256*(Settings!$C$9+Settings!$C$10))</f>
        <v/>
      </c>
      <c r="Q256" s="3">
        <f>IF(G256="","",IF(F256="BUY",M256*Settings!$C$11,0))</f>
        <v/>
      </c>
      <c r="R256" s="3">
        <f>IF(G256="","",N256*Settings!$C$6)</f>
        <v/>
      </c>
      <c r="S256" s="3">
        <f>IF(G256="","",IF(AND(F256="SELL",E256="Equity Delivery"),Settings!$C$13,0))</f>
        <v/>
      </c>
      <c r="T256" s="3">
        <f>IF(G256="","",SUM(N256:S256))</f>
        <v/>
      </c>
      <c r="U256" s="3">
        <f>IF(G256="","",IF(F256="BUY",-(M256+T256),M256-T256))</f>
        <v/>
      </c>
      <c r="V256">
        <f>IF(G256="","",Settings!$C$4+SUM($U$2:U256))</f>
        <v/>
      </c>
    </row>
    <row r="257">
      <c r="A257">
        <f>IF(G257="","",ROW()-1)</f>
        <v/>
      </c>
      <c r="B257" s="8" t="n"/>
      <c r="G257" s="3" t="n"/>
      <c r="H257" s="3" t="n"/>
      <c r="I257" s="3" t="n"/>
      <c r="J257" s="3" t="n"/>
      <c r="K257" s="3" t="n"/>
      <c r="L257" s="3" t="n"/>
      <c r="M257" s="3">
        <f>IF(G257="","",G257*H257)</f>
        <v/>
      </c>
      <c r="N257" s="3">
        <f>IF(G257="","",Settings!$C$5)</f>
        <v/>
      </c>
      <c r="O257" s="3">
        <f>IF(G257="","",IF(F257="SELL",M257*IF(E257="Equity Intraday",Settings!$C$8,Settings!$C$7),0))</f>
        <v/>
      </c>
      <c r="P257" s="3">
        <f>IF(G257="","",M257*(Settings!$C$9+Settings!$C$10))</f>
        <v/>
      </c>
      <c r="Q257" s="3">
        <f>IF(G257="","",IF(F257="BUY",M257*Settings!$C$11,0))</f>
        <v/>
      </c>
      <c r="R257" s="3">
        <f>IF(G257="","",N257*Settings!$C$6)</f>
        <v/>
      </c>
      <c r="S257" s="3">
        <f>IF(G257="","",IF(AND(F257="SELL",E257="Equity Delivery"),Settings!$C$13,0))</f>
        <v/>
      </c>
      <c r="T257" s="3">
        <f>IF(G257="","",SUM(N257:S257))</f>
        <v/>
      </c>
      <c r="U257" s="3">
        <f>IF(G257="","",IF(F257="BUY",-(M257+T257),M257-T257))</f>
        <v/>
      </c>
      <c r="V257">
        <f>IF(G257="","",Settings!$C$4+SUM($U$2:U257))</f>
        <v/>
      </c>
    </row>
    <row r="258">
      <c r="A258">
        <f>IF(G258="","",ROW()-1)</f>
        <v/>
      </c>
      <c r="B258" s="8" t="n"/>
      <c r="G258" s="3" t="n"/>
      <c r="H258" s="3" t="n"/>
      <c r="I258" s="3" t="n"/>
      <c r="J258" s="3" t="n"/>
      <c r="K258" s="3" t="n"/>
      <c r="L258" s="3" t="n"/>
      <c r="M258" s="3">
        <f>IF(G258="","",G258*H258)</f>
        <v/>
      </c>
      <c r="N258" s="3">
        <f>IF(G258="","",Settings!$C$5)</f>
        <v/>
      </c>
      <c r="O258" s="3">
        <f>IF(G258="","",IF(F258="SELL",M258*IF(E258="Equity Intraday",Settings!$C$8,Settings!$C$7),0))</f>
        <v/>
      </c>
      <c r="P258" s="3">
        <f>IF(G258="","",M258*(Settings!$C$9+Settings!$C$10))</f>
        <v/>
      </c>
      <c r="Q258" s="3">
        <f>IF(G258="","",IF(F258="BUY",M258*Settings!$C$11,0))</f>
        <v/>
      </c>
      <c r="R258" s="3">
        <f>IF(G258="","",N258*Settings!$C$6)</f>
        <v/>
      </c>
      <c r="S258" s="3">
        <f>IF(G258="","",IF(AND(F258="SELL",E258="Equity Delivery"),Settings!$C$13,0))</f>
        <v/>
      </c>
      <c r="T258" s="3">
        <f>IF(G258="","",SUM(N258:S258))</f>
        <v/>
      </c>
      <c r="U258" s="3">
        <f>IF(G258="","",IF(F258="BUY",-(M258+T258),M258-T258))</f>
        <v/>
      </c>
      <c r="V258">
        <f>IF(G258="","",Settings!$C$4+SUM($U$2:U258))</f>
        <v/>
      </c>
    </row>
    <row r="259">
      <c r="A259">
        <f>IF(G259="","",ROW()-1)</f>
        <v/>
      </c>
      <c r="B259" s="8" t="n"/>
      <c r="G259" s="3" t="n"/>
      <c r="H259" s="3" t="n"/>
      <c r="I259" s="3" t="n"/>
      <c r="J259" s="3" t="n"/>
      <c r="K259" s="3" t="n"/>
      <c r="L259" s="3" t="n"/>
      <c r="M259" s="3">
        <f>IF(G259="","",G259*H259)</f>
        <v/>
      </c>
      <c r="N259" s="3">
        <f>IF(G259="","",Settings!$C$5)</f>
        <v/>
      </c>
      <c r="O259" s="3">
        <f>IF(G259="","",IF(F259="SELL",M259*IF(E259="Equity Intraday",Settings!$C$8,Settings!$C$7),0))</f>
        <v/>
      </c>
      <c r="P259" s="3">
        <f>IF(G259="","",M259*(Settings!$C$9+Settings!$C$10))</f>
        <v/>
      </c>
      <c r="Q259" s="3">
        <f>IF(G259="","",IF(F259="BUY",M259*Settings!$C$11,0))</f>
        <v/>
      </c>
      <c r="R259" s="3">
        <f>IF(G259="","",N259*Settings!$C$6)</f>
        <v/>
      </c>
      <c r="S259" s="3">
        <f>IF(G259="","",IF(AND(F259="SELL",E259="Equity Delivery"),Settings!$C$13,0))</f>
        <v/>
      </c>
      <c r="T259" s="3">
        <f>IF(G259="","",SUM(N259:S259))</f>
        <v/>
      </c>
      <c r="U259" s="3">
        <f>IF(G259="","",IF(F259="BUY",-(M259+T259),M259-T259))</f>
        <v/>
      </c>
      <c r="V259">
        <f>IF(G259="","",Settings!$C$4+SUM($U$2:U259))</f>
        <v/>
      </c>
    </row>
    <row r="260">
      <c r="A260">
        <f>IF(G260="","",ROW()-1)</f>
        <v/>
      </c>
      <c r="B260" s="8" t="n"/>
      <c r="G260" s="3" t="n"/>
      <c r="H260" s="3" t="n"/>
      <c r="I260" s="3" t="n"/>
      <c r="J260" s="3" t="n"/>
      <c r="K260" s="3" t="n"/>
      <c r="L260" s="3" t="n"/>
      <c r="M260" s="3">
        <f>IF(G260="","",G260*H260)</f>
        <v/>
      </c>
      <c r="N260" s="3">
        <f>IF(G260="","",Settings!$C$5)</f>
        <v/>
      </c>
      <c r="O260" s="3">
        <f>IF(G260="","",IF(F260="SELL",M260*IF(E260="Equity Intraday",Settings!$C$8,Settings!$C$7),0))</f>
        <v/>
      </c>
      <c r="P260" s="3">
        <f>IF(G260="","",M260*(Settings!$C$9+Settings!$C$10))</f>
        <v/>
      </c>
      <c r="Q260" s="3">
        <f>IF(G260="","",IF(F260="BUY",M260*Settings!$C$11,0))</f>
        <v/>
      </c>
      <c r="R260" s="3">
        <f>IF(G260="","",N260*Settings!$C$6)</f>
        <v/>
      </c>
      <c r="S260" s="3">
        <f>IF(G260="","",IF(AND(F260="SELL",E260="Equity Delivery"),Settings!$C$13,0))</f>
        <v/>
      </c>
      <c r="T260" s="3">
        <f>IF(G260="","",SUM(N260:S260))</f>
        <v/>
      </c>
      <c r="U260" s="3">
        <f>IF(G260="","",IF(F260="BUY",-(M260+T260),M260-T260))</f>
        <v/>
      </c>
      <c r="V260">
        <f>IF(G260="","",Settings!$C$4+SUM($U$2:U260))</f>
        <v/>
      </c>
    </row>
    <row r="261">
      <c r="A261">
        <f>IF(G261="","",ROW()-1)</f>
        <v/>
      </c>
      <c r="B261" s="8" t="n"/>
      <c r="G261" s="3" t="n"/>
      <c r="H261" s="3" t="n"/>
      <c r="I261" s="3" t="n"/>
      <c r="J261" s="3" t="n"/>
      <c r="K261" s="3" t="n"/>
      <c r="L261" s="3" t="n"/>
      <c r="M261" s="3">
        <f>IF(G261="","",G261*H261)</f>
        <v/>
      </c>
      <c r="N261" s="3">
        <f>IF(G261="","",Settings!$C$5)</f>
        <v/>
      </c>
      <c r="O261" s="3">
        <f>IF(G261="","",IF(F261="SELL",M261*IF(E261="Equity Intraday",Settings!$C$8,Settings!$C$7),0))</f>
        <v/>
      </c>
      <c r="P261" s="3">
        <f>IF(G261="","",M261*(Settings!$C$9+Settings!$C$10))</f>
        <v/>
      </c>
      <c r="Q261" s="3">
        <f>IF(G261="","",IF(F261="BUY",M261*Settings!$C$11,0))</f>
        <v/>
      </c>
      <c r="R261" s="3">
        <f>IF(G261="","",N261*Settings!$C$6)</f>
        <v/>
      </c>
      <c r="S261" s="3">
        <f>IF(G261="","",IF(AND(F261="SELL",E261="Equity Delivery"),Settings!$C$13,0))</f>
        <v/>
      </c>
      <c r="T261" s="3">
        <f>IF(G261="","",SUM(N261:S261))</f>
        <v/>
      </c>
      <c r="U261" s="3">
        <f>IF(G261="","",IF(F261="BUY",-(M261+T261),M261-T261))</f>
        <v/>
      </c>
      <c r="V261">
        <f>IF(G261="","",Settings!$C$4+SUM($U$2:U261))</f>
        <v/>
      </c>
    </row>
    <row r="262">
      <c r="A262">
        <f>IF(G262="","",ROW()-1)</f>
        <v/>
      </c>
      <c r="B262" s="8" t="n"/>
      <c r="G262" s="3" t="n"/>
      <c r="H262" s="3" t="n"/>
      <c r="I262" s="3" t="n"/>
      <c r="J262" s="3" t="n"/>
      <c r="K262" s="3" t="n"/>
      <c r="L262" s="3" t="n"/>
      <c r="M262" s="3">
        <f>IF(G262="","",G262*H262)</f>
        <v/>
      </c>
      <c r="N262" s="3">
        <f>IF(G262="","",Settings!$C$5)</f>
        <v/>
      </c>
      <c r="O262" s="3">
        <f>IF(G262="","",IF(F262="SELL",M262*IF(E262="Equity Intraday",Settings!$C$8,Settings!$C$7),0))</f>
        <v/>
      </c>
      <c r="P262" s="3">
        <f>IF(G262="","",M262*(Settings!$C$9+Settings!$C$10))</f>
        <v/>
      </c>
      <c r="Q262" s="3">
        <f>IF(G262="","",IF(F262="BUY",M262*Settings!$C$11,0))</f>
        <v/>
      </c>
      <c r="R262" s="3">
        <f>IF(G262="","",N262*Settings!$C$6)</f>
        <v/>
      </c>
      <c r="S262" s="3">
        <f>IF(G262="","",IF(AND(F262="SELL",E262="Equity Delivery"),Settings!$C$13,0))</f>
        <v/>
      </c>
      <c r="T262" s="3">
        <f>IF(G262="","",SUM(N262:S262))</f>
        <v/>
      </c>
      <c r="U262" s="3">
        <f>IF(G262="","",IF(F262="BUY",-(M262+T262),M262-T262))</f>
        <v/>
      </c>
      <c r="V262">
        <f>IF(G262="","",Settings!$C$4+SUM($U$2:U262))</f>
        <v/>
      </c>
    </row>
    <row r="263">
      <c r="A263">
        <f>IF(G263="","",ROW()-1)</f>
        <v/>
      </c>
      <c r="B263" s="8" t="n"/>
      <c r="G263" s="3" t="n"/>
      <c r="H263" s="3" t="n"/>
      <c r="I263" s="3" t="n"/>
      <c r="J263" s="3" t="n"/>
      <c r="K263" s="3" t="n"/>
      <c r="L263" s="3" t="n"/>
      <c r="M263" s="3">
        <f>IF(G263="","",G263*H263)</f>
        <v/>
      </c>
      <c r="N263" s="3">
        <f>IF(G263="","",Settings!$C$5)</f>
        <v/>
      </c>
      <c r="O263" s="3">
        <f>IF(G263="","",IF(F263="SELL",M263*IF(E263="Equity Intraday",Settings!$C$8,Settings!$C$7),0))</f>
        <v/>
      </c>
      <c r="P263" s="3">
        <f>IF(G263="","",M263*(Settings!$C$9+Settings!$C$10))</f>
        <v/>
      </c>
      <c r="Q263" s="3">
        <f>IF(G263="","",IF(F263="BUY",M263*Settings!$C$11,0))</f>
        <v/>
      </c>
      <c r="R263" s="3">
        <f>IF(G263="","",N263*Settings!$C$6)</f>
        <v/>
      </c>
      <c r="S263" s="3">
        <f>IF(G263="","",IF(AND(F263="SELL",E263="Equity Delivery"),Settings!$C$13,0))</f>
        <v/>
      </c>
      <c r="T263" s="3">
        <f>IF(G263="","",SUM(N263:S263))</f>
        <v/>
      </c>
      <c r="U263" s="3">
        <f>IF(G263="","",IF(F263="BUY",-(M263+T263),M263-T263))</f>
        <v/>
      </c>
      <c r="V263">
        <f>IF(G263="","",Settings!$C$4+SUM($U$2:U263))</f>
        <v/>
      </c>
    </row>
    <row r="264">
      <c r="A264">
        <f>IF(G264="","",ROW()-1)</f>
        <v/>
      </c>
      <c r="B264" s="8" t="n"/>
      <c r="G264" s="3" t="n"/>
      <c r="H264" s="3" t="n"/>
      <c r="I264" s="3" t="n"/>
      <c r="J264" s="3" t="n"/>
      <c r="K264" s="3" t="n"/>
      <c r="L264" s="3" t="n"/>
      <c r="M264" s="3">
        <f>IF(G264="","",G264*H264)</f>
        <v/>
      </c>
      <c r="N264" s="3">
        <f>IF(G264="","",Settings!$C$5)</f>
        <v/>
      </c>
      <c r="O264" s="3">
        <f>IF(G264="","",IF(F264="SELL",M264*IF(E264="Equity Intraday",Settings!$C$8,Settings!$C$7),0))</f>
        <v/>
      </c>
      <c r="P264" s="3">
        <f>IF(G264="","",M264*(Settings!$C$9+Settings!$C$10))</f>
        <v/>
      </c>
      <c r="Q264" s="3">
        <f>IF(G264="","",IF(F264="BUY",M264*Settings!$C$11,0))</f>
        <v/>
      </c>
      <c r="R264" s="3">
        <f>IF(G264="","",N264*Settings!$C$6)</f>
        <v/>
      </c>
      <c r="S264" s="3">
        <f>IF(G264="","",IF(AND(F264="SELL",E264="Equity Delivery"),Settings!$C$13,0))</f>
        <v/>
      </c>
      <c r="T264" s="3">
        <f>IF(G264="","",SUM(N264:S264))</f>
        <v/>
      </c>
      <c r="U264" s="3">
        <f>IF(G264="","",IF(F264="BUY",-(M264+T264),M264-T264))</f>
        <v/>
      </c>
      <c r="V264">
        <f>IF(G264="","",Settings!$C$4+SUM($U$2:U264))</f>
        <v/>
      </c>
    </row>
    <row r="265">
      <c r="A265">
        <f>IF(G265="","",ROW()-1)</f>
        <v/>
      </c>
      <c r="B265" s="8" t="n"/>
      <c r="G265" s="3" t="n"/>
      <c r="H265" s="3" t="n"/>
      <c r="I265" s="3" t="n"/>
      <c r="J265" s="3" t="n"/>
      <c r="K265" s="3" t="n"/>
      <c r="L265" s="3" t="n"/>
      <c r="M265" s="3">
        <f>IF(G265="","",G265*H265)</f>
        <v/>
      </c>
      <c r="N265" s="3">
        <f>IF(G265="","",Settings!$C$5)</f>
        <v/>
      </c>
      <c r="O265" s="3">
        <f>IF(G265="","",IF(F265="SELL",M265*IF(E265="Equity Intraday",Settings!$C$8,Settings!$C$7),0))</f>
        <v/>
      </c>
      <c r="P265" s="3">
        <f>IF(G265="","",M265*(Settings!$C$9+Settings!$C$10))</f>
        <v/>
      </c>
      <c r="Q265" s="3">
        <f>IF(G265="","",IF(F265="BUY",M265*Settings!$C$11,0))</f>
        <v/>
      </c>
      <c r="R265" s="3">
        <f>IF(G265="","",N265*Settings!$C$6)</f>
        <v/>
      </c>
      <c r="S265" s="3">
        <f>IF(G265="","",IF(AND(F265="SELL",E265="Equity Delivery"),Settings!$C$13,0))</f>
        <v/>
      </c>
      <c r="T265" s="3">
        <f>IF(G265="","",SUM(N265:S265))</f>
        <v/>
      </c>
      <c r="U265" s="3">
        <f>IF(G265="","",IF(F265="BUY",-(M265+T265),M265-T265))</f>
        <v/>
      </c>
      <c r="V265">
        <f>IF(G265="","",Settings!$C$4+SUM($U$2:U265))</f>
        <v/>
      </c>
    </row>
    <row r="266">
      <c r="A266">
        <f>IF(G266="","",ROW()-1)</f>
        <v/>
      </c>
      <c r="B266" s="8" t="n"/>
      <c r="G266" s="3" t="n"/>
      <c r="H266" s="3" t="n"/>
      <c r="I266" s="3" t="n"/>
      <c r="J266" s="3" t="n"/>
      <c r="K266" s="3" t="n"/>
      <c r="L266" s="3" t="n"/>
      <c r="M266" s="3">
        <f>IF(G266="","",G266*H266)</f>
        <v/>
      </c>
      <c r="N266" s="3">
        <f>IF(G266="","",Settings!$C$5)</f>
        <v/>
      </c>
      <c r="O266" s="3">
        <f>IF(G266="","",IF(F266="SELL",M266*IF(E266="Equity Intraday",Settings!$C$8,Settings!$C$7),0))</f>
        <v/>
      </c>
      <c r="P266" s="3">
        <f>IF(G266="","",M266*(Settings!$C$9+Settings!$C$10))</f>
        <v/>
      </c>
      <c r="Q266" s="3">
        <f>IF(G266="","",IF(F266="BUY",M266*Settings!$C$11,0))</f>
        <v/>
      </c>
      <c r="R266" s="3">
        <f>IF(G266="","",N266*Settings!$C$6)</f>
        <v/>
      </c>
      <c r="S266" s="3">
        <f>IF(G266="","",IF(AND(F266="SELL",E266="Equity Delivery"),Settings!$C$13,0))</f>
        <v/>
      </c>
      <c r="T266" s="3">
        <f>IF(G266="","",SUM(N266:S266))</f>
        <v/>
      </c>
      <c r="U266" s="3">
        <f>IF(G266="","",IF(F266="BUY",-(M266+T266),M266-T266))</f>
        <v/>
      </c>
      <c r="V266">
        <f>IF(G266="","",Settings!$C$4+SUM($U$2:U266))</f>
        <v/>
      </c>
    </row>
    <row r="267">
      <c r="A267">
        <f>IF(G267="","",ROW()-1)</f>
        <v/>
      </c>
      <c r="B267" s="8" t="n"/>
      <c r="G267" s="3" t="n"/>
      <c r="H267" s="3" t="n"/>
      <c r="I267" s="3" t="n"/>
      <c r="J267" s="3" t="n"/>
      <c r="K267" s="3" t="n"/>
      <c r="L267" s="3" t="n"/>
      <c r="M267" s="3">
        <f>IF(G267="","",G267*H267)</f>
        <v/>
      </c>
      <c r="N267" s="3">
        <f>IF(G267="","",Settings!$C$5)</f>
        <v/>
      </c>
      <c r="O267" s="3">
        <f>IF(G267="","",IF(F267="SELL",M267*IF(E267="Equity Intraday",Settings!$C$8,Settings!$C$7),0))</f>
        <v/>
      </c>
      <c r="P267" s="3">
        <f>IF(G267="","",M267*(Settings!$C$9+Settings!$C$10))</f>
        <v/>
      </c>
      <c r="Q267" s="3">
        <f>IF(G267="","",IF(F267="BUY",M267*Settings!$C$11,0))</f>
        <v/>
      </c>
      <c r="R267" s="3">
        <f>IF(G267="","",N267*Settings!$C$6)</f>
        <v/>
      </c>
      <c r="S267" s="3">
        <f>IF(G267="","",IF(AND(F267="SELL",E267="Equity Delivery"),Settings!$C$13,0))</f>
        <v/>
      </c>
      <c r="T267" s="3">
        <f>IF(G267="","",SUM(N267:S267))</f>
        <v/>
      </c>
      <c r="U267" s="3">
        <f>IF(G267="","",IF(F267="BUY",-(M267+T267),M267-T267))</f>
        <v/>
      </c>
      <c r="V267">
        <f>IF(G267="","",Settings!$C$4+SUM($U$2:U267))</f>
        <v/>
      </c>
    </row>
    <row r="268">
      <c r="A268">
        <f>IF(G268="","",ROW()-1)</f>
        <v/>
      </c>
      <c r="B268" s="8" t="n"/>
      <c r="G268" s="3" t="n"/>
      <c r="H268" s="3" t="n"/>
      <c r="I268" s="3" t="n"/>
      <c r="J268" s="3" t="n"/>
      <c r="K268" s="3" t="n"/>
      <c r="L268" s="3" t="n"/>
      <c r="M268" s="3">
        <f>IF(G268="","",G268*H268)</f>
        <v/>
      </c>
      <c r="N268" s="3">
        <f>IF(G268="","",Settings!$C$5)</f>
        <v/>
      </c>
      <c r="O268" s="3">
        <f>IF(G268="","",IF(F268="SELL",M268*IF(E268="Equity Intraday",Settings!$C$8,Settings!$C$7),0))</f>
        <v/>
      </c>
      <c r="P268" s="3">
        <f>IF(G268="","",M268*(Settings!$C$9+Settings!$C$10))</f>
        <v/>
      </c>
      <c r="Q268" s="3">
        <f>IF(G268="","",IF(F268="BUY",M268*Settings!$C$11,0))</f>
        <v/>
      </c>
      <c r="R268" s="3">
        <f>IF(G268="","",N268*Settings!$C$6)</f>
        <v/>
      </c>
      <c r="S268" s="3">
        <f>IF(G268="","",IF(AND(F268="SELL",E268="Equity Delivery"),Settings!$C$13,0))</f>
        <v/>
      </c>
      <c r="T268" s="3">
        <f>IF(G268="","",SUM(N268:S268))</f>
        <v/>
      </c>
      <c r="U268" s="3">
        <f>IF(G268="","",IF(F268="BUY",-(M268+T268),M268-T268))</f>
        <v/>
      </c>
      <c r="V268">
        <f>IF(G268="","",Settings!$C$4+SUM($U$2:U268))</f>
        <v/>
      </c>
    </row>
    <row r="269">
      <c r="A269">
        <f>IF(G269="","",ROW()-1)</f>
        <v/>
      </c>
      <c r="B269" s="8" t="n"/>
      <c r="G269" s="3" t="n"/>
      <c r="H269" s="3" t="n"/>
      <c r="I269" s="3" t="n"/>
      <c r="J269" s="3" t="n"/>
      <c r="K269" s="3" t="n"/>
      <c r="L269" s="3" t="n"/>
      <c r="M269" s="3">
        <f>IF(G269="","",G269*H269)</f>
        <v/>
      </c>
      <c r="N269" s="3">
        <f>IF(G269="","",Settings!$C$5)</f>
        <v/>
      </c>
      <c r="O269" s="3">
        <f>IF(G269="","",IF(F269="SELL",M269*IF(E269="Equity Intraday",Settings!$C$8,Settings!$C$7),0))</f>
        <v/>
      </c>
      <c r="P269" s="3">
        <f>IF(G269="","",M269*(Settings!$C$9+Settings!$C$10))</f>
        <v/>
      </c>
      <c r="Q269" s="3">
        <f>IF(G269="","",IF(F269="BUY",M269*Settings!$C$11,0))</f>
        <v/>
      </c>
      <c r="R269" s="3">
        <f>IF(G269="","",N269*Settings!$C$6)</f>
        <v/>
      </c>
      <c r="S269" s="3">
        <f>IF(G269="","",IF(AND(F269="SELL",E269="Equity Delivery"),Settings!$C$13,0))</f>
        <v/>
      </c>
      <c r="T269" s="3">
        <f>IF(G269="","",SUM(N269:S269))</f>
        <v/>
      </c>
      <c r="U269" s="3">
        <f>IF(G269="","",IF(F269="BUY",-(M269+T269),M269-T269))</f>
        <v/>
      </c>
      <c r="V269">
        <f>IF(G269="","",Settings!$C$4+SUM($U$2:U269))</f>
        <v/>
      </c>
    </row>
    <row r="270">
      <c r="A270">
        <f>IF(G270="","",ROW()-1)</f>
        <v/>
      </c>
      <c r="B270" s="8" t="n"/>
      <c r="G270" s="3" t="n"/>
      <c r="H270" s="3" t="n"/>
      <c r="I270" s="3" t="n"/>
      <c r="J270" s="3" t="n"/>
      <c r="K270" s="3" t="n"/>
      <c r="L270" s="3" t="n"/>
      <c r="M270" s="3">
        <f>IF(G270="","",G270*H270)</f>
        <v/>
      </c>
      <c r="N270" s="3">
        <f>IF(G270="","",Settings!$C$5)</f>
        <v/>
      </c>
      <c r="O270" s="3">
        <f>IF(G270="","",IF(F270="SELL",M270*IF(E270="Equity Intraday",Settings!$C$8,Settings!$C$7),0))</f>
        <v/>
      </c>
      <c r="P270" s="3">
        <f>IF(G270="","",M270*(Settings!$C$9+Settings!$C$10))</f>
        <v/>
      </c>
      <c r="Q270" s="3">
        <f>IF(G270="","",IF(F270="BUY",M270*Settings!$C$11,0))</f>
        <v/>
      </c>
      <c r="R270" s="3">
        <f>IF(G270="","",N270*Settings!$C$6)</f>
        <v/>
      </c>
      <c r="S270" s="3">
        <f>IF(G270="","",IF(AND(F270="SELL",E270="Equity Delivery"),Settings!$C$13,0))</f>
        <v/>
      </c>
      <c r="T270" s="3">
        <f>IF(G270="","",SUM(N270:S270))</f>
        <v/>
      </c>
      <c r="U270" s="3">
        <f>IF(G270="","",IF(F270="BUY",-(M270+T270),M270-T270))</f>
        <v/>
      </c>
      <c r="V270">
        <f>IF(G270="","",Settings!$C$4+SUM($U$2:U270))</f>
        <v/>
      </c>
    </row>
    <row r="271">
      <c r="A271">
        <f>IF(G271="","",ROW()-1)</f>
        <v/>
      </c>
      <c r="B271" s="8" t="n"/>
      <c r="G271" s="3" t="n"/>
      <c r="H271" s="3" t="n"/>
      <c r="I271" s="3" t="n"/>
      <c r="J271" s="3" t="n"/>
      <c r="K271" s="3" t="n"/>
      <c r="L271" s="3" t="n"/>
      <c r="M271" s="3">
        <f>IF(G271="","",G271*H271)</f>
        <v/>
      </c>
      <c r="N271" s="3">
        <f>IF(G271="","",Settings!$C$5)</f>
        <v/>
      </c>
      <c r="O271" s="3">
        <f>IF(G271="","",IF(F271="SELL",M271*IF(E271="Equity Intraday",Settings!$C$8,Settings!$C$7),0))</f>
        <v/>
      </c>
      <c r="P271" s="3">
        <f>IF(G271="","",M271*(Settings!$C$9+Settings!$C$10))</f>
        <v/>
      </c>
      <c r="Q271" s="3">
        <f>IF(G271="","",IF(F271="BUY",M271*Settings!$C$11,0))</f>
        <v/>
      </c>
      <c r="R271" s="3">
        <f>IF(G271="","",N271*Settings!$C$6)</f>
        <v/>
      </c>
      <c r="S271" s="3">
        <f>IF(G271="","",IF(AND(F271="SELL",E271="Equity Delivery"),Settings!$C$13,0))</f>
        <v/>
      </c>
      <c r="T271" s="3">
        <f>IF(G271="","",SUM(N271:S271))</f>
        <v/>
      </c>
      <c r="U271" s="3">
        <f>IF(G271="","",IF(F271="BUY",-(M271+T271),M271-T271))</f>
        <v/>
      </c>
      <c r="V271">
        <f>IF(G271="","",Settings!$C$4+SUM($U$2:U271))</f>
        <v/>
      </c>
    </row>
    <row r="272">
      <c r="A272">
        <f>IF(G272="","",ROW()-1)</f>
        <v/>
      </c>
      <c r="B272" s="8" t="n"/>
      <c r="G272" s="3" t="n"/>
      <c r="H272" s="3" t="n"/>
      <c r="I272" s="3" t="n"/>
      <c r="J272" s="3" t="n"/>
      <c r="K272" s="3" t="n"/>
      <c r="L272" s="3" t="n"/>
      <c r="M272" s="3">
        <f>IF(G272="","",G272*H272)</f>
        <v/>
      </c>
      <c r="N272" s="3">
        <f>IF(G272="","",Settings!$C$5)</f>
        <v/>
      </c>
      <c r="O272" s="3">
        <f>IF(G272="","",IF(F272="SELL",M272*IF(E272="Equity Intraday",Settings!$C$8,Settings!$C$7),0))</f>
        <v/>
      </c>
      <c r="P272" s="3">
        <f>IF(G272="","",M272*(Settings!$C$9+Settings!$C$10))</f>
        <v/>
      </c>
      <c r="Q272" s="3">
        <f>IF(G272="","",IF(F272="BUY",M272*Settings!$C$11,0))</f>
        <v/>
      </c>
      <c r="R272" s="3">
        <f>IF(G272="","",N272*Settings!$C$6)</f>
        <v/>
      </c>
      <c r="S272" s="3">
        <f>IF(G272="","",IF(AND(F272="SELL",E272="Equity Delivery"),Settings!$C$13,0))</f>
        <v/>
      </c>
      <c r="T272" s="3">
        <f>IF(G272="","",SUM(N272:S272))</f>
        <v/>
      </c>
      <c r="U272" s="3">
        <f>IF(G272="","",IF(F272="BUY",-(M272+T272),M272-T272))</f>
        <v/>
      </c>
      <c r="V272">
        <f>IF(G272="","",Settings!$C$4+SUM($U$2:U272))</f>
        <v/>
      </c>
    </row>
    <row r="273">
      <c r="A273">
        <f>IF(G273="","",ROW()-1)</f>
        <v/>
      </c>
      <c r="B273" s="8" t="n"/>
      <c r="G273" s="3" t="n"/>
      <c r="H273" s="3" t="n"/>
      <c r="I273" s="3" t="n"/>
      <c r="J273" s="3" t="n"/>
      <c r="K273" s="3" t="n"/>
      <c r="L273" s="3" t="n"/>
      <c r="M273" s="3">
        <f>IF(G273="","",G273*H273)</f>
        <v/>
      </c>
      <c r="N273" s="3">
        <f>IF(G273="","",Settings!$C$5)</f>
        <v/>
      </c>
      <c r="O273" s="3">
        <f>IF(G273="","",IF(F273="SELL",M273*IF(E273="Equity Intraday",Settings!$C$8,Settings!$C$7),0))</f>
        <v/>
      </c>
      <c r="P273" s="3">
        <f>IF(G273="","",M273*(Settings!$C$9+Settings!$C$10))</f>
        <v/>
      </c>
      <c r="Q273" s="3">
        <f>IF(G273="","",IF(F273="BUY",M273*Settings!$C$11,0))</f>
        <v/>
      </c>
      <c r="R273" s="3">
        <f>IF(G273="","",N273*Settings!$C$6)</f>
        <v/>
      </c>
      <c r="S273" s="3">
        <f>IF(G273="","",IF(AND(F273="SELL",E273="Equity Delivery"),Settings!$C$13,0))</f>
        <v/>
      </c>
      <c r="T273" s="3">
        <f>IF(G273="","",SUM(N273:S273))</f>
        <v/>
      </c>
      <c r="U273" s="3">
        <f>IF(G273="","",IF(F273="BUY",-(M273+T273),M273-T273))</f>
        <v/>
      </c>
      <c r="V273">
        <f>IF(G273="","",Settings!$C$4+SUM($U$2:U273))</f>
        <v/>
      </c>
    </row>
    <row r="274">
      <c r="A274">
        <f>IF(G274="","",ROW()-1)</f>
        <v/>
      </c>
      <c r="B274" s="8" t="n"/>
      <c r="G274" s="3" t="n"/>
      <c r="H274" s="3" t="n"/>
      <c r="I274" s="3" t="n"/>
      <c r="J274" s="3" t="n"/>
      <c r="K274" s="3" t="n"/>
      <c r="L274" s="3" t="n"/>
      <c r="M274" s="3">
        <f>IF(G274="","",G274*H274)</f>
        <v/>
      </c>
      <c r="N274" s="3">
        <f>IF(G274="","",Settings!$C$5)</f>
        <v/>
      </c>
      <c r="O274" s="3">
        <f>IF(G274="","",IF(F274="SELL",M274*IF(E274="Equity Intraday",Settings!$C$8,Settings!$C$7),0))</f>
        <v/>
      </c>
      <c r="P274" s="3">
        <f>IF(G274="","",M274*(Settings!$C$9+Settings!$C$10))</f>
        <v/>
      </c>
      <c r="Q274" s="3">
        <f>IF(G274="","",IF(F274="BUY",M274*Settings!$C$11,0))</f>
        <v/>
      </c>
      <c r="R274" s="3">
        <f>IF(G274="","",N274*Settings!$C$6)</f>
        <v/>
      </c>
      <c r="S274" s="3">
        <f>IF(G274="","",IF(AND(F274="SELL",E274="Equity Delivery"),Settings!$C$13,0))</f>
        <v/>
      </c>
      <c r="T274" s="3">
        <f>IF(G274="","",SUM(N274:S274))</f>
        <v/>
      </c>
      <c r="U274" s="3">
        <f>IF(G274="","",IF(F274="BUY",-(M274+T274),M274-T274))</f>
        <v/>
      </c>
      <c r="V274">
        <f>IF(G274="","",Settings!$C$4+SUM($U$2:U274))</f>
        <v/>
      </c>
    </row>
    <row r="275">
      <c r="A275">
        <f>IF(G275="","",ROW()-1)</f>
        <v/>
      </c>
      <c r="B275" s="8" t="n"/>
      <c r="G275" s="3" t="n"/>
      <c r="H275" s="3" t="n"/>
      <c r="I275" s="3" t="n"/>
      <c r="J275" s="3" t="n"/>
      <c r="K275" s="3" t="n"/>
      <c r="L275" s="3" t="n"/>
      <c r="M275" s="3">
        <f>IF(G275="","",G275*H275)</f>
        <v/>
      </c>
      <c r="N275" s="3">
        <f>IF(G275="","",Settings!$C$5)</f>
        <v/>
      </c>
      <c r="O275" s="3">
        <f>IF(G275="","",IF(F275="SELL",M275*IF(E275="Equity Intraday",Settings!$C$8,Settings!$C$7),0))</f>
        <v/>
      </c>
      <c r="P275" s="3">
        <f>IF(G275="","",M275*(Settings!$C$9+Settings!$C$10))</f>
        <v/>
      </c>
      <c r="Q275" s="3">
        <f>IF(G275="","",IF(F275="BUY",M275*Settings!$C$11,0))</f>
        <v/>
      </c>
      <c r="R275" s="3">
        <f>IF(G275="","",N275*Settings!$C$6)</f>
        <v/>
      </c>
      <c r="S275" s="3">
        <f>IF(G275="","",IF(AND(F275="SELL",E275="Equity Delivery"),Settings!$C$13,0))</f>
        <v/>
      </c>
      <c r="T275" s="3">
        <f>IF(G275="","",SUM(N275:S275))</f>
        <v/>
      </c>
      <c r="U275" s="3">
        <f>IF(G275="","",IF(F275="BUY",-(M275+T275),M275-T275))</f>
        <v/>
      </c>
      <c r="V275">
        <f>IF(G275="","",Settings!$C$4+SUM($U$2:U275))</f>
        <v/>
      </c>
    </row>
    <row r="276">
      <c r="A276">
        <f>IF(G276="","",ROW()-1)</f>
        <v/>
      </c>
      <c r="B276" s="8" t="n"/>
      <c r="G276" s="3" t="n"/>
      <c r="H276" s="3" t="n"/>
      <c r="I276" s="3" t="n"/>
      <c r="J276" s="3" t="n"/>
      <c r="K276" s="3" t="n"/>
      <c r="L276" s="3" t="n"/>
      <c r="M276" s="3">
        <f>IF(G276="","",G276*H276)</f>
        <v/>
      </c>
      <c r="N276" s="3">
        <f>IF(G276="","",Settings!$C$5)</f>
        <v/>
      </c>
      <c r="O276" s="3">
        <f>IF(G276="","",IF(F276="SELL",M276*IF(E276="Equity Intraday",Settings!$C$8,Settings!$C$7),0))</f>
        <v/>
      </c>
      <c r="P276" s="3">
        <f>IF(G276="","",M276*(Settings!$C$9+Settings!$C$10))</f>
        <v/>
      </c>
      <c r="Q276" s="3">
        <f>IF(G276="","",IF(F276="BUY",M276*Settings!$C$11,0))</f>
        <v/>
      </c>
      <c r="R276" s="3">
        <f>IF(G276="","",N276*Settings!$C$6)</f>
        <v/>
      </c>
      <c r="S276" s="3">
        <f>IF(G276="","",IF(AND(F276="SELL",E276="Equity Delivery"),Settings!$C$13,0))</f>
        <v/>
      </c>
      <c r="T276" s="3">
        <f>IF(G276="","",SUM(N276:S276))</f>
        <v/>
      </c>
      <c r="U276" s="3">
        <f>IF(G276="","",IF(F276="BUY",-(M276+T276),M276-T276))</f>
        <v/>
      </c>
      <c r="V276">
        <f>IF(G276="","",Settings!$C$4+SUM($U$2:U276))</f>
        <v/>
      </c>
    </row>
    <row r="277">
      <c r="A277">
        <f>IF(G277="","",ROW()-1)</f>
        <v/>
      </c>
      <c r="B277" s="8" t="n"/>
      <c r="G277" s="3" t="n"/>
      <c r="H277" s="3" t="n"/>
      <c r="I277" s="3" t="n"/>
      <c r="J277" s="3" t="n"/>
      <c r="K277" s="3" t="n"/>
      <c r="L277" s="3" t="n"/>
      <c r="M277" s="3">
        <f>IF(G277="","",G277*H277)</f>
        <v/>
      </c>
      <c r="N277" s="3">
        <f>IF(G277="","",Settings!$C$5)</f>
        <v/>
      </c>
      <c r="O277" s="3">
        <f>IF(G277="","",IF(F277="SELL",M277*IF(E277="Equity Intraday",Settings!$C$8,Settings!$C$7),0))</f>
        <v/>
      </c>
      <c r="P277" s="3">
        <f>IF(G277="","",M277*(Settings!$C$9+Settings!$C$10))</f>
        <v/>
      </c>
      <c r="Q277" s="3">
        <f>IF(G277="","",IF(F277="BUY",M277*Settings!$C$11,0))</f>
        <v/>
      </c>
      <c r="R277" s="3">
        <f>IF(G277="","",N277*Settings!$C$6)</f>
        <v/>
      </c>
      <c r="S277" s="3">
        <f>IF(G277="","",IF(AND(F277="SELL",E277="Equity Delivery"),Settings!$C$13,0))</f>
        <v/>
      </c>
      <c r="T277" s="3">
        <f>IF(G277="","",SUM(N277:S277))</f>
        <v/>
      </c>
      <c r="U277" s="3">
        <f>IF(G277="","",IF(F277="BUY",-(M277+T277),M277-T277))</f>
        <v/>
      </c>
      <c r="V277">
        <f>IF(G277="","",Settings!$C$4+SUM($U$2:U277))</f>
        <v/>
      </c>
    </row>
    <row r="278">
      <c r="A278">
        <f>IF(G278="","",ROW()-1)</f>
        <v/>
      </c>
      <c r="B278" s="8" t="n"/>
      <c r="G278" s="3" t="n"/>
      <c r="H278" s="3" t="n"/>
      <c r="I278" s="3" t="n"/>
      <c r="J278" s="3" t="n"/>
      <c r="K278" s="3" t="n"/>
      <c r="L278" s="3" t="n"/>
      <c r="M278" s="3">
        <f>IF(G278="","",G278*H278)</f>
        <v/>
      </c>
      <c r="N278" s="3">
        <f>IF(G278="","",Settings!$C$5)</f>
        <v/>
      </c>
      <c r="O278" s="3">
        <f>IF(G278="","",IF(F278="SELL",M278*IF(E278="Equity Intraday",Settings!$C$8,Settings!$C$7),0))</f>
        <v/>
      </c>
      <c r="P278" s="3">
        <f>IF(G278="","",M278*(Settings!$C$9+Settings!$C$10))</f>
        <v/>
      </c>
      <c r="Q278" s="3">
        <f>IF(G278="","",IF(F278="BUY",M278*Settings!$C$11,0))</f>
        <v/>
      </c>
      <c r="R278" s="3">
        <f>IF(G278="","",N278*Settings!$C$6)</f>
        <v/>
      </c>
      <c r="S278" s="3">
        <f>IF(G278="","",IF(AND(F278="SELL",E278="Equity Delivery"),Settings!$C$13,0))</f>
        <v/>
      </c>
      <c r="T278" s="3">
        <f>IF(G278="","",SUM(N278:S278))</f>
        <v/>
      </c>
      <c r="U278" s="3">
        <f>IF(G278="","",IF(F278="BUY",-(M278+T278),M278-T278))</f>
        <v/>
      </c>
      <c r="V278">
        <f>IF(G278="","",Settings!$C$4+SUM($U$2:U278))</f>
        <v/>
      </c>
    </row>
    <row r="279">
      <c r="A279">
        <f>IF(G279="","",ROW()-1)</f>
        <v/>
      </c>
      <c r="B279" s="8" t="n"/>
      <c r="G279" s="3" t="n"/>
      <c r="H279" s="3" t="n"/>
      <c r="I279" s="3" t="n"/>
      <c r="J279" s="3" t="n"/>
      <c r="K279" s="3" t="n"/>
      <c r="L279" s="3" t="n"/>
      <c r="M279" s="3">
        <f>IF(G279="","",G279*H279)</f>
        <v/>
      </c>
      <c r="N279" s="3">
        <f>IF(G279="","",Settings!$C$5)</f>
        <v/>
      </c>
      <c r="O279" s="3">
        <f>IF(G279="","",IF(F279="SELL",M279*IF(E279="Equity Intraday",Settings!$C$8,Settings!$C$7),0))</f>
        <v/>
      </c>
      <c r="P279" s="3">
        <f>IF(G279="","",M279*(Settings!$C$9+Settings!$C$10))</f>
        <v/>
      </c>
      <c r="Q279" s="3">
        <f>IF(G279="","",IF(F279="BUY",M279*Settings!$C$11,0))</f>
        <v/>
      </c>
      <c r="R279" s="3">
        <f>IF(G279="","",N279*Settings!$C$6)</f>
        <v/>
      </c>
      <c r="S279" s="3">
        <f>IF(G279="","",IF(AND(F279="SELL",E279="Equity Delivery"),Settings!$C$13,0))</f>
        <v/>
      </c>
      <c r="T279" s="3">
        <f>IF(G279="","",SUM(N279:S279))</f>
        <v/>
      </c>
      <c r="U279" s="3">
        <f>IF(G279="","",IF(F279="BUY",-(M279+T279),M279-T279))</f>
        <v/>
      </c>
      <c r="V279">
        <f>IF(G279="","",Settings!$C$4+SUM($U$2:U279))</f>
        <v/>
      </c>
    </row>
    <row r="280">
      <c r="A280">
        <f>IF(G280="","",ROW()-1)</f>
        <v/>
      </c>
      <c r="B280" s="8" t="n"/>
      <c r="G280" s="3" t="n"/>
      <c r="H280" s="3" t="n"/>
      <c r="I280" s="3" t="n"/>
      <c r="J280" s="3" t="n"/>
      <c r="K280" s="3" t="n"/>
      <c r="L280" s="3" t="n"/>
      <c r="M280" s="3">
        <f>IF(G280="","",G280*H280)</f>
        <v/>
      </c>
      <c r="N280" s="3">
        <f>IF(G280="","",Settings!$C$5)</f>
        <v/>
      </c>
      <c r="O280" s="3">
        <f>IF(G280="","",IF(F280="SELL",M280*IF(E280="Equity Intraday",Settings!$C$8,Settings!$C$7),0))</f>
        <v/>
      </c>
      <c r="P280" s="3">
        <f>IF(G280="","",M280*(Settings!$C$9+Settings!$C$10))</f>
        <v/>
      </c>
      <c r="Q280" s="3">
        <f>IF(G280="","",IF(F280="BUY",M280*Settings!$C$11,0))</f>
        <v/>
      </c>
      <c r="R280" s="3">
        <f>IF(G280="","",N280*Settings!$C$6)</f>
        <v/>
      </c>
      <c r="S280" s="3">
        <f>IF(G280="","",IF(AND(F280="SELL",E280="Equity Delivery"),Settings!$C$13,0))</f>
        <v/>
      </c>
      <c r="T280" s="3">
        <f>IF(G280="","",SUM(N280:S280))</f>
        <v/>
      </c>
      <c r="U280" s="3">
        <f>IF(G280="","",IF(F280="BUY",-(M280+T280),M280-T280))</f>
        <v/>
      </c>
      <c r="V280">
        <f>IF(G280="","",Settings!$C$4+SUM($U$2:U280))</f>
        <v/>
      </c>
    </row>
    <row r="281">
      <c r="A281">
        <f>IF(G281="","",ROW()-1)</f>
        <v/>
      </c>
      <c r="B281" s="8" t="n"/>
      <c r="G281" s="3" t="n"/>
      <c r="H281" s="3" t="n"/>
      <c r="I281" s="3" t="n"/>
      <c r="J281" s="3" t="n"/>
      <c r="K281" s="3" t="n"/>
      <c r="L281" s="3" t="n"/>
      <c r="M281" s="3">
        <f>IF(G281="","",G281*H281)</f>
        <v/>
      </c>
      <c r="N281" s="3">
        <f>IF(G281="","",Settings!$C$5)</f>
        <v/>
      </c>
      <c r="O281" s="3">
        <f>IF(G281="","",IF(F281="SELL",M281*IF(E281="Equity Intraday",Settings!$C$8,Settings!$C$7),0))</f>
        <v/>
      </c>
      <c r="P281" s="3">
        <f>IF(G281="","",M281*(Settings!$C$9+Settings!$C$10))</f>
        <v/>
      </c>
      <c r="Q281" s="3">
        <f>IF(G281="","",IF(F281="BUY",M281*Settings!$C$11,0))</f>
        <v/>
      </c>
      <c r="R281" s="3">
        <f>IF(G281="","",N281*Settings!$C$6)</f>
        <v/>
      </c>
      <c r="S281" s="3">
        <f>IF(G281="","",IF(AND(F281="SELL",E281="Equity Delivery"),Settings!$C$13,0))</f>
        <v/>
      </c>
      <c r="T281" s="3">
        <f>IF(G281="","",SUM(N281:S281))</f>
        <v/>
      </c>
      <c r="U281" s="3">
        <f>IF(G281="","",IF(F281="BUY",-(M281+T281),M281-T281))</f>
        <v/>
      </c>
      <c r="V281">
        <f>IF(G281="","",Settings!$C$4+SUM($U$2:U281))</f>
        <v/>
      </c>
    </row>
    <row r="282">
      <c r="A282">
        <f>IF(G282="","",ROW()-1)</f>
        <v/>
      </c>
      <c r="B282" s="8" t="n"/>
      <c r="G282" s="3" t="n"/>
      <c r="H282" s="3" t="n"/>
      <c r="I282" s="3" t="n"/>
      <c r="J282" s="3" t="n"/>
      <c r="K282" s="3" t="n"/>
      <c r="L282" s="3" t="n"/>
      <c r="M282" s="3">
        <f>IF(G282="","",G282*H282)</f>
        <v/>
      </c>
      <c r="N282" s="3">
        <f>IF(G282="","",Settings!$C$5)</f>
        <v/>
      </c>
      <c r="O282" s="3">
        <f>IF(G282="","",IF(F282="SELL",M282*IF(E282="Equity Intraday",Settings!$C$8,Settings!$C$7),0))</f>
        <v/>
      </c>
      <c r="P282" s="3">
        <f>IF(G282="","",M282*(Settings!$C$9+Settings!$C$10))</f>
        <v/>
      </c>
      <c r="Q282" s="3">
        <f>IF(G282="","",IF(F282="BUY",M282*Settings!$C$11,0))</f>
        <v/>
      </c>
      <c r="R282" s="3">
        <f>IF(G282="","",N282*Settings!$C$6)</f>
        <v/>
      </c>
      <c r="S282" s="3">
        <f>IF(G282="","",IF(AND(F282="SELL",E282="Equity Delivery"),Settings!$C$13,0))</f>
        <v/>
      </c>
      <c r="T282" s="3">
        <f>IF(G282="","",SUM(N282:S282))</f>
        <v/>
      </c>
      <c r="U282" s="3">
        <f>IF(G282="","",IF(F282="BUY",-(M282+T282),M282-T282))</f>
        <v/>
      </c>
      <c r="V282">
        <f>IF(G282="","",Settings!$C$4+SUM($U$2:U282))</f>
        <v/>
      </c>
    </row>
    <row r="283">
      <c r="A283">
        <f>IF(G283="","",ROW()-1)</f>
        <v/>
      </c>
      <c r="B283" s="8" t="n"/>
      <c r="G283" s="3" t="n"/>
      <c r="H283" s="3" t="n"/>
      <c r="I283" s="3" t="n"/>
      <c r="J283" s="3" t="n"/>
      <c r="K283" s="3" t="n"/>
      <c r="L283" s="3" t="n"/>
      <c r="M283" s="3">
        <f>IF(G283="","",G283*H283)</f>
        <v/>
      </c>
      <c r="N283" s="3">
        <f>IF(G283="","",Settings!$C$5)</f>
        <v/>
      </c>
      <c r="O283" s="3">
        <f>IF(G283="","",IF(F283="SELL",M283*IF(E283="Equity Intraday",Settings!$C$8,Settings!$C$7),0))</f>
        <v/>
      </c>
      <c r="P283" s="3">
        <f>IF(G283="","",M283*(Settings!$C$9+Settings!$C$10))</f>
        <v/>
      </c>
      <c r="Q283" s="3">
        <f>IF(G283="","",IF(F283="BUY",M283*Settings!$C$11,0))</f>
        <v/>
      </c>
      <c r="R283" s="3">
        <f>IF(G283="","",N283*Settings!$C$6)</f>
        <v/>
      </c>
      <c r="S283" s="3">
        <f>IF(G283="","",IF(AND(F283="SELL",E283="Equity Delivery"),Settings!$C$13,0))</f>
        <v/>
      </c>
      <c r="T283" s="3">
        <f>IF(G283="","",SUM(N283:S283))</f>
        <v/>
      </c>
      <c r="U283" s="3">
        <f>IF(G283="","",IF(F283="BUY",-(M283+T283),M283-T283))</f>
        <v/>
      </c>
      <c r="V283">
        <f>IF(G283="","",Settings!$C$4+SUM($U$2:U283))</f>
        <v/>
      </c>
    </row>
    <row r="284">
      <c r="A284">
        <f>IF(G284="","",ROW()-1)</f>
        <v/>
      </c>
      <c r="B284" s="8" t="n"/>
      <c r="G284" s="3" t="n"/>
      <c r="H284" s="3" t="n"/>
      <c r="I284" s="3" t="n"/>
      <c r="J284" s="3" t="n"/>
      <c r="K284" s="3" t="n"/>
      <c r="L284" s="3" t="n"/>
      <c r="M284" s="3">
        <f>IF(G284="","",G284*H284)</f>
        <v/>
      </c>
      <c r="N284" s="3">
        <f>IF(G284="","",Settings!$C$5)</f>
        <v/>
      </c>
      <c r="O284" s="3">
        <f>IF(G284="","",IF(F284="SELL",M284*IF(E284="Equity Intraday",Settings!$C$8,Settings!$C$7),0))</f>
        <v/>
      </c>
      <c r="P284" s="3">
        <f>IF(G284="","",M284*(Settings!$C$9+Settings!$C$10))</f>
        <v/>
      </c>
      <c r="Q284" s="3">
        <f>IF(G284="","",IF(F284="BUY",M284*Settings!$C$11,0))</f>
        <v/>
      </c>
      <c r="R284" s="3">
        <f>IF(G284="","",N284*Settings!$C$6)</f>
        <v/>
      </c>
      <c r="S284" s="3">
        <f>IF(G284="","",IF(AND(F284="SELL",E284="Equity Delivery"),Settings!$C$13,0))</f>
        <v/>
      </c>
      <c r="T284" s="3">
        <f>IF(G284="","",SUM(N284:S284))</f>
        <v/>
      </c>
      <c r="U284" s="3">
        <f>IF(G284="","",IF(F284="BUY",-(M284+T284),M284-T284))</f>
        <v/>
      </c>
      <c r="V284">
        <f>IF(G284="","",Settings!$C$4+SUM($U$2:U284))</f>
        <v/>
      </c>
    </row>
    <row r="285">
      <c r="A285">
        <f>IF(G285="","",ROW()-1)</f>
        <v/>
      </c>
      <c r="B285" s="8" t="n"/>
      <c r="G285" s="3" t="n"/>
      <c r="H285" s="3" t="n"/>
      <c r="I285" s="3" t="n"/>
      <c r="J285" s="3" t="n"/>
      <c r="K285" s="3" t="n"/>
      <c r="L285" s="3" t="n"/>
      <c r="M285" s="3">
        <f>IF(G285="","",G285*H285)</f>
        <v/>
      </c>
      <c r="N285" s="3">
        <f>IF(G285="","",Settings!$C$5)</f>
        <v/>
      </c>
      <c r="O285" s="3">
        <f>IF(G285="","",IF(F285="SELL",M285*IF(E285="Equity Intraday",Settings!$C$8,Settings!$C$7),0))</f>
        <v/>
      </c>
      <c r="P285" s="3">
        <f>IF(G285="","",M285*(Settings!$C$9+Settings!$C$10))</f>
        <v/>
      </c>
      <c r="Q285" s="3">
        <f>IF(G285="","",IF(F285="BUY",M285*Settings!$C$11,0))</f>
        <v/>
      </c>
      <c r="R285" s="3">
        <f>IF(G285="","",N285*Settings!$C$6)</f>
        <v/>
      </c>
      <c r="S285" s="3">
        <f>IF(G285="","",IF(AND(F285="SELL",E285="Equity Delivery"),Settings!$C$13,0))</f>
        <v/>
      </c>
      <c r="T285" s="3">
        <f>IF(G285="","",SUM(N285:S285))</f>
        <v/>
      </c>
      <c r="U285" s="3">
        <f>IF(G285="","",IF(F285="BUY",-(M285+T285),M285-T285))</f>
        <v/>
      </c>
      <c r="V285">
        <f>IF(G285="","",Settings!$C$4+SUM($U$2:U285))</f>
        <v/>
      </c>
    </row>
    <row r="286">
      <c r="A286">
        <f>IF(G286="","",ROW()-1)</f>
        <v/>
      </c>
      <c r="B286" s="8" t="n"/>
      <c r="G286" s="3" t="n"/>
      <c r="H286" s="3" t="n"/>
      <c r="I286" s="3" t="n"/>
      <c r="J286" s="3" t="n"/>
      <c r="K286" s="3" t="n"/>
      <c r="L286" s="3" t="n"/>
      <c r="M286" s="3">
        <f>IF(G286="","",G286*H286)</f>
        <v/>
      </c>
      <c r="N286" s="3">
        <f>IF(G286="","",Settings!$C$5)</f>
        <v/>
      </c>
      <c r="O286" s="3">
        <f>IF(G286="","",IF(F286="SELL",M286*IF(E286="Equity Intraday",Settings!$C$8,Settings!$C$7),0))</f>
        <v/>
      </c>
      <c r="P286" s="3">
        <f>IF(G286="","",M286*(Settings!$C$9+Settings!$C$10))</f>
        <v/>
      </c>
      <c r="Q286" s="3">
        <f>IF(G286="","",IF(F286="BUY",M286*Settings!$C$11,0))</f>
        <v/>
      </c>
      <c r="R286" s="3">
        <f>IF(G286="","",N286*Settings!$C$6)</f>
        <v/>
      </c>
      <c r="S286" s="3">
        <f>IF(G286="","",IF(AND(F286="SELL",E286="Equity Delivery"),Settings!$C$13,0))</f>
        <v/>
      </c>
      <c r="T286" s="3">
        <f>IF(G286="","",SUM(N286:S286))</f>
        <v/>
      </c>
      <c r="U286" s="3">
        <f>IF(G286="","",IF(F286="BUY",-(M286+T286),M286-T286))</f>
        <v/>
      </c>
      <c r="V286">
        <f>IF(G286="","",Settings!$C$4+SUM($U$2:U286))</f>
        <v/>
      </c>
    </row>
    <row r="287">
      <c r="A287">
        <f>IF(G287="","",ROW()-1)</f>
        <v/>
      </c>
      <c r="B287" s="8" t="n"/>
      <c r="G287" s="3" t="n"/>
      <c r="H287" s="3" t="n"/>
      <c r="I287" s="3" t="n"/>
      <c r="J287" s="3" t="n"/>
      <c r="K287" s="3" t="n"/>
      <c r="L287" s="3" t="n"/>
      <c r="M287" s="3">
        <f>IF(G287="","",G287*H287)</f>
        <v/>
      </c>
      <c r="N287" s="3">
        <f>IF(G287="","",Settings!$C$5)</f>
        <v/>
      </c>
      <c r="O287" s="3">
        <f>IF(G287="","",IF(F287="SELL",M287*IF(E287="Equity Intraday",Settings!$C$8,Settings!$C$7),0))</f>
        <v/>
      </c>
      <c r="P287" s="3">
        <f>IF(G287="","",M287*(Settings!$C$9+Settings!$C$10))</f>
        <v/>
      </c>
      <c r="Q287" s="3">
        <f>IF(G287="","",IF(F287="BUY",M287*Settings!$C$11,0))</f>
        <v/>
      </c>
      <c r="R287" s="3">
        <f>IF(G287="","",N287*Settings!$C$6)</f>
        <v/>
      </c>
      <c r="S287" s="3">
        <f>IF(G287="","",IF(AND(F287="SELL",E287="Equity Delivery"),Settings!$C$13,0))</f>
        <v/>
      </c>
      <c r="T287" s="3">
        <f>IF(G287="","",SUM(N287:S287))</f>
        <v/>
      </c>
      <c r="U287" s="3">
        <f>IF(G287="","",IF(F287="BUY",-(M287+T287),M287-T287))</f>
        <v/>
      </c>
      <c r="V287">
        <f>IF(G287="","",Settings!$C$4+SUM($U$2:U287))</f>
        <v/>
      </c>
    </row>
    <row r="288">
      <c r="A288">
        <f>IF(G288="","",ROW()-1)</f>
        <v/>
      </c>
      <c r="B288" s="8" t="n"/>
      <c r="G288" s="3" t="n"/>
      <c r="H288" s="3" t="n"/>
      <c r="I288" s="3" t="n"/>
      <c r="J288" s="3" t="n"/>
      <c r="K288" s="3" t="n"/>
      <c r="L288" s="3" t="n"/>
      <c r="M288" s="3">
        <f>IF(G288="","",G288*H288)</f>
        <v/>
      </c>
      <c r="N288" s="3">
        <f>IF(G288="","",Settings!$C$5)</f>
        <v/>
      </c>
      <c r="O288" s="3">
        <f>IF(G288="","",IF(F288="SELL",M288*IF(E288="Equity Intraday",Settings!$C$8,Settings!$C$7),0))</f>
        <v/>
      </c>
      <c r="P288" s="3">
        <f>IF(G288="","",M288*(Settings!$C$9+Settings!$C$10))</f>
        <v/>
      </c>
      <c r="Q288" s="3">
        <f>IF(G288="","",IF(F288="BUY",M288*Settings!$C$11,0))</f>
        <v/>
      </c>
      <c r="R288" s="3">
        <f>IF(G288="","",N288*Settings!$C$6)</f>
        <v/>
      </c>
      <c r="S288" s="3">
        <f>IF(G288="","",IF(AND(F288="SELL",E288="Equity Delivery"),Settings!$C$13,0))</f>
        <v/>
      </c>
      <c r="T288" s="3">
        <f>IF(G288="","",SUM(N288:S288))</f>
        <v/>
      </c>
      <c r="U288" s="3">
        <f>IF(G288="","",IF(F288="BUY",-(M288+T288),M288-T288))</f>
        <v/>
      </c>
      <c r="V288">
        <f>IF(G288="","",Settings!$C$4+SUM($U$2:U288))</f>
        <v/>
      </c>
    </row>
    <row r="289">
      <c r="A289">
        <f>IF(G289="","",ROW()-1)</f>
        <v/>
      </c>
      <c r="B289" s="8" t="n"/>
      <c r="G289" s="3" t="n"/>
      <c r="H289" s="3" t="n"/>
      <c r="I289" s="3" t="n"/>
      <c r="J289" s="3" t="n"/>
      <c r="K289" s="3" t="n"/>
      <c r="L289" s="3" t="n"/>
      <c r="M289" s="3">
        <f>IF(G289="","",G289*H289)</f>
        <v/>
      </c>
      <c r="N289" s="3">
        <f>IF(G289="","",Settings!$C$5)</f>
        <v/>
      </c>
      <c r="O289" s="3">
        <f>IF(G289="","",IF(F289="SELL",M289*IF(E289="Equity Intraday",Settings!$C$8,Settings!$C$7),0))</f>
        <v/>
      </c>
      <c r="P289" s="3">
        <f>IF(G289="","",M289*(Settings!$C$9+Settings!$C$10))</f>
        <v/>
      </c>
      <c r="Q289" s="3">
        <f>IF(G289="","",IF(F289="BUY",M289*Settings!$C$11,0))</f>
        <v/>
      </c>
      <c r="R289" s="3">
        <f>IF(G289="","",N289*Settings!$C$6)</f>
        <v/>
      </c>
      <c r="S289" s="3">
        <f>IF(G289="","",IF(AND(F289="SELL",E289="Equity Delivery"),Settings!$C$13,0))</f>
        <v/>
      </c>
      <c r="T289" s="3">
        <f>IF(G289="","",SUM(N289:S289))</f>
        <v/>
      </c>
      <c r="U289" s="3">
        <f>IF(G289="","",IF(F289="BUY",-(M289+T289),M289-T289))</f>
        <v/>
      </c>
      <c r="V289">
        <f>IF(G289="","",Settings!$C$4+SUM($U$2:U289))</f>
        <v/>
      </c>
    </row>
    <row r="290">
      <c r="A290">
        <f>IF(G290="","",ROW()-1)</f>
        <v/>
      </c>
      <c r="B290" s="8" t="n"/>
      <c r="G290" s="3" t="n"/>
      <c r="H290" s="3" t="n"/>
      <c r="I290" s="3" t="n"/>
      <c r="J290" s="3" t="n"/>
      <c r="K290" s="3" t="n"/>
      <c r="L290" s="3" t="n"/>
      <c r="M290" s="3">
        <f>IF(G290="","",G290*H290)</f>
        <v/>
      </c>
      <c r="N290" s="3">
        <f>IF(G290="","",Settings!$C$5)</f>
        <v/>
      </c>
      <c r="O290" s="3">
        <f>IF(G290="","",IF(F290="SELL",M290*IF(E290="Equity Intraday",Settings!$C$8,Settings!$C$7),0))</f>
        <v/>
      </c>
      <c r="P290" s="3">
        <f>IF(G290="","",M290*(Settings!$C$9+Settings!$C$10))</f>
        <v/>
      </c>
      <c r="Q290" s="3">
        <f>IF(G290="","",IF(F290="BUY",M290*Settings!$C$11,0))</f>
        <v/>
      </c>
      <c r="R290" s="3">
        <f>IF(G290="","",N290*Settings!$C$6)</f>
        <v/>
      </c>
      <c r="S290" s="3">
        <f>IF(G290="","",IF(AND(F290="SELL",E290="Equity Delivery"),Settings!$C$13,0))</f>
        <v/>
      </c>
      <c r="T290" s="3">
        <f>IF(G290="","",SUM(N290:S290))</f>
        <v/>
      </c>
      <c r="U290" s="3">
        <f>IF(G290="","",IF(F290="BUY",-(M290+T290),M290-T290))</f>
        <v/>
      </c>
      <c r="V290">
        <f>IF(G290="","",Settings!$C$4+SUM($U$2:U290))</f>
        <v/>
      </c>
    </row>
    <row r="291">
      <c r="A291">
        <f>IF(G291="","",ROW()-1)</f>
        <v/>
      </c>
      <c r="B291" s="8" t="n"/>
      <c r="G291" s="3" t="n"/>
      <c r="H291" s="3" t="n"/>
      <c r="I291" s="3" t="n"/>
      <c r="J291" s="3" t="n"/>
      <c r="K291" s="3" t="n"/>
      <c r="L291" s="3" t="n"/>
      <c r="M291" s="3">
        <f>IF(G291="","",G291*H291)</f>
        <v/>
      </c>
      <c r="N291" s="3">
        <f>IF(G291="","",Settings!$C$5)</f>
        <v/>
      </c>
      <c r="O291" s="3">
        <f>IF(G291="","",IF(F291="SELL",M291*IF(E291="Equity Intraday",Settings!$C$8,Settings!$C$7),0))</f>
        <v/>
      </c>
      <c r="P291" s="3">
        <f>IF(G291="","",M291*(Settings!$C$9+Settings!$C$10))</f>
        <v/>
      </c>
      <c r="Q291" s="3">
        <f>IF(G291="","",IF(F291="BUY",M291*Settings!$C$11,0))</f>
        <v/>
      </c>
      <c r="R291" s="3">
        <f>IF(G291="","",N291*Settings!$C$6)</f>
        <v/>
      </c>
      <c r="S291" s="3">
        <f>IF(G291="","",IF(AND(F291="SELL",E291="Equity Delivery"),Settings!$C$13,0))</f>
        <v/>
      </c>
      <c r="T291" s="3">
        <f>IF(G291="","",SUM(N291:S291))</f>
        <v/>
      </c>
      <c r="U291" s="3">
        <f>IF(G291="","",IF(F291="BUY",-(M291+T291),M291-T291))</f>
        <v/>
      </c>
      <c r="V291">
        <f>IF(G291="","",Settings!$C$4+SUM($U$2:U291))</f>
        <v/>
      </c>
    </row>
    <row r="292">
      <c r="A292">
        <f>IF(G292="","",ROW()-1)</f>
        <v/>
      </c>
      <c r="B292" s="8" t="n"/>
      <c r="G292" s="3" t="n"/>
      <c r="H292" s="3" t="n"/>
      <c r="I292" s="3" t="n"/>
      <c r="J292" s="3" t="n"/>
      <c r="K292" s="3" t="n"/>
      <c r="L292" s="3" t="n"/>
      <c r="M292" s="3">
        <f>IF(G292="","",G292*H292)</f>
        <v/>
      </c>
      <c r="N292" s="3">
        <f>IF(G292="","",Settings!$C$5)</f>
        <v/>
      </c>
      <c r="O292" s="3">
        <f>IF(G292="","",IF(F292="SELL",M292*IF(E292="Equity Intraday",Settings!$C$8,Settings!$C$7),0))</f>
        <v/>
      </c>
      <c r="P292" s="3">
        <f>IF(G292="","",M292*(Settings!$C$9+Settings!$C$10))</f>
        <v/>
      </c>
      <c r="Q292" s="3">
        <f>IF(G292="","",IF(F292="BUY",M292*Settings!$C$11,0))</f>
        <v/>
      </c>
      <c r="R292" s="3">
        <f>IF(G292="","",N292*Settings!$C$6)</f>
        <v/>
      </c>
      <c r="S292" s="3">
        <f>IF(G292="","",IF(AND(F292="SELL",E292="Equity Delivery"),Settings!$C$13,0))</f>
        <v/>
      </c>
      <c r="T292" s="3">
        <f>IF(G292="","",SUM(N292:S292))</f>
        <v/>
      </c>
      <c r="U292" s="3">
        <f>IF(G292="","",IF(F292="BUY",-(M292+T292),M292-T292))</f>
        <v/>
      </c>
      <c r="V292">
        <f>IF(G292="","",Settings!$C$4+SUM($U$2:U292))</f>
        <v/>
      </c>
    </row>
    <row r="293">
      <c r="A293">
        <f>IF(G293="","",ROW()-1)</f>
        <v/>
      </c>
      <c r="B293" s="8" t="n"/>
      <c r="G293" s="3" t="n"/>
      <c r="H293" s="3" t="n"/>
      <c r="I293" s="3" t="n"/>
      <c r="J293" s="3" t="n"/>
      <c r="K293" s="3" t="n"/>
      <c r="L293" s="3" t="n"/>
      <c r="M293" s="3">
        <f>IF(G293="","",G293*H293)</f>
        <v/>
      </c>
      <c r="N293" s="3">
        <f>IF(G293="","",Settings!$C$5)</f>
        <v/>
      </c>
      <c r="O293" s="3">
        <f>IF(G293="","",IF(F293="SELL",M293*IF(E293="Equity Intraday",Settings!$C$8,Settings!$C$7),0))</f>
        <v/>
      </c>
      <c r="P293" s="3">
        <f>IF(G293="","",M293*(Settings!$C$9+Settings!$C$10))</f>
        <v/>
      </c>
      <c r="Q293" s="3">
        <f>IF(G293="","",IF(F293="BUY",M293*Settings!$C$11,0))</f>
        <v/>
      </c>
      <c r="R293" s="3">
        <f>IF(G293="","",N293*Settings!$C$6)</f>
        <v/>
      </c>
      <c r="S293" s="3">
        <f>IF(G293="","",IF(AND(F293="SELL",E293="Equity Delivery"),Settings!$C$13,0))</f>
        <v/>
      </c>
      <c r="T293" s="3">
        <f>IF(G293="","",SUM(N293:S293))</f>
        <v/>
      </c>
      <c r="U293" s="3">
        <f>IF(G293="","",IF(F293="BUY",-(M293+T293),M293-T293))</f>
        <v/>
      </c>
      <c r="V293">
        <f>IF(G293="","",Settings!$C$4+SUM($U$2:U293))</f>
        <v/>
      </c>
    </row>
    <row r="294">
      <c r="A294">
        <f>IF(G294="","",ROW()-1)</f>
        <v/>
      </c>
      <c r="B294" s="8" t="n"/>
      <c r="G294" s="3" t="n"/>
      <c r="H294" s="3" t="n"/>
      <c r="I294" s="3" t="n"/>
      <c r="J294" s="3" t="n"/>
      <c r="K294" s="3" t="n"/>
      <c r="L294" s="3" t="n"/>
      <c r="M294" s="3">
        <f>IF(G294="","",G294*H294)</f>
        <v/>
      </c>
      <c r="N294" s="3">
        <f>IF(G294="","",Settings!$C$5)</f>
        <v/>
      </c>
      <c r="O294" s="3">
        <f>IF(G294="","",IF(F294="SELL",M294*IF(E294="Equity Intraday",Settings!$C$8,Settings!$C$7),0))</f>
        <v/>
      </c>
      <c r="P294" s="3">
        <f>IF(G294="","",M294*(Settings!$C$9+Settings!$C$10))</f>
        <v/>
      </c>
      <c r="Q294" s="3">
        <f>IF(G294="","",IF(F294="BUY",M294*Settings!$C$11,0))</f>
        <v/>
      </c>
      <c r="R294" s="3">
        <f>IF(G294="","",N294*Settings!$C$6)</f>
        <v/>
      </c>
      <c r="S294" s="3">
        <f>IF(G294="","",IF(AND(F294="SELL",E294="Equity Delivery"),Settings!$C$13,0))</f>
        <v/>
      </c>
      <c r="T294" s="3">
        <f>IF(G294="","",SUM(N294:S294))</f>
        <v/>
      </c>
      <c r="U294" s="3">
        <f>IF(G294="","",IF(F294="BUY",-(M294+T294),M294-T294))</f>
        <v/>
      </c>
      <c r="V294">
        <f>IF(G294="","",Settings!$C$4+SUM($U$2:U294))</f>
        <v/>
      </c>
    </row>
    <row r="295">
      <c r="A295">
        <f>IF(G295="","",ROW()-1)</f>
        <v/>
      </c>
      <c r="B295" s="8" t="n"/>
      <c r="G295" s="3" t="n"/>
      <c r="H295" s="3" t="n"/>
      <c r="I295" s="3" t="n"/>
      <c r="J295" s="3" t="n"/>
      <c r="K295" s="3" t="n"/>
      <c r="L295" s="3" t="n"/>
      <c r="M295" s="3">
        <f>IF(G295="","",G295*H295)</f>
        <v/>
      </c>
      <c r="N295" s="3">
        <f>IF(G295="","",Settings!$C$5)</f>
        <v/>
      </c>
      <c r="O295" s="3">
        <f>IF(G295="","",IF(F295="SELL",M295*IF(E295="Equity Intraday",Settings!$C$8,Settings!$C$7),0))</f>
        <v/>
      </c>
      <c r="P295" s="3">
        <f>IF(G295="","",M295*(Settings!$C$9+Settings!$C$10))</f>
        <v/>
      </c>
      <c r="Q295" s="3">
        <f>IF(G295="","",IF(F295="BUY",M295*Settings!$C$11,0))</f>
        <v/>
      </c>
      <c r="R295" s="3">
        <f>IF(G295="","",N295*Settings!$C$6)</f>
        <v/>
      </c>
      <c r="S295" s="3">
        <f>IF(G295="","",IF(AND(F295="SELL",E295="Equity Delivery"),Settings!$C$13,0))</f>
        <v/>
      </c>
      <c r="T295" s="3">
        <f>IF(G295="","",SUM(N295:S295))</f>
        <v/>
      </c>
      <c r="U295" s="3">
        <f>IF(G295="","",IF(F295="BUY",-(M295+T295),M295-T295))</f>
        <v/>
      </c>
      <c r="V295">
        <f>IF(G295="","",Settings!$C$4+SUM($U$2:U295))</f>
        <v/>
      </c>
    </row>
    <row r="296">
      <c r="A296">
        <f>IF(G296="","",ROW()-1)</f>
        <v/>
      </c>
      <c r="B296" s="8" t="n"/>
      <c r="G296" s="3" t="n"/>
      <c r="H296" s="3" t="n"/>
      <c r="I296" s="3" t="n"/>
      <c r="J296" s="3" t="n"/>
      <c r="K296" s="3" t="n"/>
      <c r="L296" s="3" t="n"/>
      <c r="M296" s="3">
        <f>IF(G296="","",G296*H296)</f>
        <v/>
      </c>
      <c r="N296" s="3">
        <f>IF(G296="","",Settings!$C$5)</f>
        <v/>
      </c>
      <c r="O296" s="3">
        <f>IF(G296="","",IF(F296="SELL",M296*IF(E296="Equity Intraday",Settings!$C$8,Settings!$C$7),0))</f>
        <v/>
      </c>
      <c r="P296" s="3">
        <f>IF(G296="","",M296*(Settings!$C$9+Settings!$C$10))</f>
        <v/>
      </c>
      <c r="Q296" s="3">
        <f>IF(G296="","",IF(F296="BUY",M296*Settings!$C$11,0))</f>
        <v/>
      </c>
      <c r="R296" s="3">
        <f>IF(G296="","",N296*Settings!$C$6)</f>
        <v/>
      </c>
      <c r="S296" s="3">
        <f>IF(G296="","",IF(AND(F296="SELL",E296="Equity Delivery"),Settings!$C$13,0))</f>
        <v/>
      </c>
      <c r="T296" s="3">
        <f>IF(G296="","",SUM(N296:S296))</f>
        <v/>
      </c>
      <c r="U296" s="3">
        <f>IF(G296="","",IF(F296="BUY",-(M296+T296),M296-T296))</f>
        <v/>
      </c>
      <c r="V296">
        <f>IF(G296="","",Settings!$C$4+SUM($U$2:U296))</f>
        <v/>
      </c>
    </row>
    <row r="297">
      <c r="A297">
        <f>IF(G297="","",ROW()-1)</f>
        <v/>
      </c>
      <c r="B297" s="8" t="n"/>
      <c r="G297" s="3" t="n"/>
      <c r="H297" s="3" t="n"/>
      <c r="I297" s="3" t="n"/>
      <c r="J297" s="3" t="n"/>
      <c r="K297" s="3" t="n"/>
      <c r="L297" s="3" t="n"/>
      <c r="M297" s="3">
        <f>IF(G297="","",G297*H297)</f>
        <v/>
      </c>
      <c r="N297" s="3">
        <f>IF(G297="","",Settings!$C$5)</f>
        <v/>
      </c>
      <c r="O297" s="3">
        <f>IF(G297="","",IF(F297="SELL",M297*IF(E297="Equity Intraday",Settings!$C$8,Settings!$C$7),0))</f>
        <v/>
      </c>
      <c r="P297" s="3">
        <f>IF(G297="","",M297*(Settings!$C$9+Settings!$C$10))</f>
        <v/>
      </c>
      <c r="Q297" s="3">
        <f>IF(G297="","",IF(F297="BUY",M297*Settings!$C$11,0))</f>
        <v/>
      </c>
      <c r="R297" s="3">
        <f>IF(G297="","",N297*Settings!$C$6)</f>
        <v/>
      </c>
      <c r="S297" s="3">
        <f>IF(G297="","",IF(AND(F297="SELL",E297="Equity Delivery"),Settings!$C$13,0))</f>
        <v/>
      </c>
      <c r="T297" s="3">
        <f>IF(G297="","",SUM(N297:S297))</f>
        <v/>
      </c>
      <c r="U297" s="3">
        <f>IF(G297="","",IF(F297="BUY",-(M297+T297),M297-T297))</f>
        <v/>
      </c>
      <c r="V297">
        <f>IF(G297="","",Settings!$C$4+SUM($U$2:U297))</f>
        <v/>
      </c>
    </row>
    <row r="298">
      <c r="A298">
        <f>IF(G298="","",ROW()-1)</f>
        <v/>
      </c>
      <c r="B298" s="8" t="n"/>
      <c r="G298" s="3" t="n"/>
      <c r="H298" s="3" t="n"/>
      <c r="I298" s="3" t="n"/>
      <c r="J298" s="3" t="n"/>
      <c r="K298" s="3" t="n"/>
      <c r="L298" s="3" t="n"/>
      <c r="M298" s="3">
        <f>IF(G298="","",G298*H298)</f>
        <v/>
      </c>
      <c r="N298" s="3">
        <f>IF(G298="","",Settings!$C$5)</f>
        <v/>
      </c>
      <c r="O298" s="3">
        <f>IF(G298="","",IF(F298="SELL",M298*IF(E298="Equity Intraday",Settings!$C$8,Settings!$C$7),0))</f>
        <v/>
      </c>
      <c r="P298" s="3">
        <f>IF(G298="","",M298*(Settings!$C$9+Settings!$C$10))</f>
        <v/>
      </c>
      <c r="Q298" s="3">
        <f>IF(G298="","",IF(F298="BUY",M298*Settings!$C$11,0))</f>
        <v/>
      </c>
      <c r="R298" s="3">
        <f>IF(G298="","",N298*Settings!$C$6)</f>
        <v/>
      </c>
      <c r="S298" s="3">
        <f>IF(G298="","",IF(AND(F298="SELL",E298="Equity Delivery"),Settings!$C$13,0))</f>
        <v/>
      </c>
      <c r="T298" s="3">
        <f>IF(G298="","",SUM(N298:S298))</f>
        <v/>
      </c>
      <c r="U298" s="3">
        <f>IF(G298="","",IF(F298="BUY",-(M298+T298),M298-T298))</f>
        <v/>
      </c>
      <c r="V298">
        <f>IF(G298="","",Settings!$C$4+SUM($U$2:U298))</f>
        <v/>
      </c>
    </row>
    <row r="299">
      <c r="A299">
        <f>IF(G299="","",ROW()-1)</f>
        <v/>
      </c>
      <c r="B299" s="8" t="n"/>
      <c r="G299" s="3" t="n"/>
      <c r="H299" s="3" t="n"/>
      <c r="I299" s="3" t="n"/>
      <c r="J299" s="3" t="n"/>
      <c r="K299" s="3" t="n"/>
      <c r="L299" s="3" t="n"/>
      <c r="M299" s="3">
        <f>IF(G299="","",G299*H299)</f>
        <v/>
      </c>
      <c r="N299" s="3">
        <f>IF(G299="","",Settings!$C$5)</f>
        <v/>
      </c>
      <c r="O299" s="3">
        <f>IF(G299="","",IF(F299="SELL",M299*IF(E299="Equity Intraday",Settings!$C$8,Settings!$C$7),0))</f>
        <v/>
      </c>
      <c r="P299" s="3">
        <f>IF(G299="","",M299*(Settings!$C$9+Settings!$C$10))</f>
        <v/>
      </c>
      <c r="Q299" s="3">
        <f>IF(G299="","",IF(F299="BUY",M299*Settings!$C$11,0))</f>
        <v/>
      </c>
      <c r="R299" s="3">
        <f>IF(G299="","",N299*Settings!$C$6)</f>
        <v/>
      </c>
      <c r="S299" s="3">
        <f>IF(G299="","",IF(AND(F299="SELL",E299="Equity Delivery"),Settings!$C$13,0))</f>
        <v/>
      </c>
      <c r="T299" s="3">
        <f>IF(G299="","",SUM(N299:S299))</f>
        <v/>
      </c>
      <c r="U299" s="3">
        <f>IF(G299="","",IF(F299="BUY",-(M299+T299),M299-T299))</f>
        <v/>
      </c>
      <c r="V299">
        <f>IF(G299="","",Settings!$C$4+SUM($U$2:U299))</f>
        <v/>
      </c>
    </row>
    <row r="300">
      <c r="A300">
        <f>IF(G300="","",ROW()-1)</f>
        <v/>
      </c>
      <c r="B300" s="8" t="n"/>
      <c r="G300" s="3" t="n"/>
      <c r="H300" s="3" t="n"/>
      <c r="I300" s="3" t="n"/>
      <c r="J300" s="3" t="n"/>
      <c r="K300" s="3" t="n"/>
      <c r="L300" s="3" t="n"/>
      <c r="M300" s="3">
        <f>IF(G300="","",G300*H300)</f>
        <v/>
      </c>
      <c r="N300" s="3">
        <f>IF(G300="","",Settings!$C$5)</f>
        <v/>
      </c>
      <c r="O300" s="3">
        <f>IF(G300="","",IF(F300="SELL",M300*IF(E300="Equity Intraday",Settings!$C$8,Settings!$C$7),0))</f>
        <v/>
      </c>
      <c r="P300" s="3">
        <f>IF(G300="","",M300*(Settings!$C$9+Settings!$C$10))</f>
        <v/>
      </c>
      <c r="Q300" s="3">
        <f>IF(G300="","",IF(F300="BUY",M300*Settings!$C$11,0))</f>
        <v/>
      </c>
      <c r="R300" s="3">
        <f>IF(G300="","",N300*Settings!$C$6)</f>
        <v/>
      </c>
      <c r="S300" s="3">
        <f>IF(G300="","",IF(AND(F300="SELL",E300="Equity Delivery"),Settings!$C$13,0))</f>
        <v/>
      </c>
      <c r="T300" s="3">
        <f>IF(G300="","",SUM(N300:S300))</f>
        <v/>
      </c>
      <c r="U300" s="3">
        <f>IF(G300="","",IF(F300="BUY",-(M300+T300),M300-T300))</f>
        <v/>
      </c>
      <c r="V300">
        <f>IF(G300="","",Settings!$C$4+SUM($U$2:U300))</f>
        <v/>
      </c>
    </row>
    <row r="301">
      <c r="A301">
        <f>IF(G301="","",ROW()-1)</f>
        <v/>
      </c>
      <c r="B301" s="8" t="n"/>
      <c r="G301" s="3" t="n"/>
      <c r="H301" s="3" t="n"/>
      <c r="I301" s="3" t="n"/>
      <c r="J301" s="3" t="n"/>
      <c r="K301" s="3" t="n"/>
      <c r="L301" s="3" t="n"/>
      <c r="M301" s="3">
        <f>IF(G301="","",G301*H301)</f>
        <v/>
      </c>
      <c r="N301" s="3">
        <f>IF(G301="","",Settings!$C$5)</f>
        <v/>
      </c>
      <c r="O301" s="3">
        <f>IF(G301="","",IF(F301="SELL",M301*IF(E301="Equity Intraday",Settings!$C$8,Settings!$C$7),0))</f>
        <v/>
      </c>
      <c r="P301" s="3">
        <f>IF(G301="","",M301*(Settings!$C$9+Settings!$C$10))</f>
        <v/>
      </c>
      <c r="Q301" s="3">
        <f>IF(G301="","",IF(F301="BUY",M301*Settings!$C$11,0))</f>
        <v/>
      </c>
      <c r="R301" s="3">
        <f>IF(G301="","",N301*Settings!$C$6)</f>
        <v/>
      </c>
      <c r="S301" s="3">
        <f>IF(G301="","",IF(AND(F301="SELL",E301="Equity Delivery"),Settings!$C$13,0))</f>
        <v/>
      </c>
      <c r="T301" s="3">
        <f>IF(G301="","",SUM(N301:S301))</f>
        <v/>
      </c>
      <c r="U301" s="3">
        <f>IF(G301="","",IF(F301="BUY",-(M301+T301),M301-T301))</f>
        <v/>
      </c>
      <c r="V301">
        <f>IF(G301="","",Settings!$C$4+SUM($U$2:U301))</f>
        <v/>
      </c>
    </row>
    <row r="302">
      <c r="A302">
        <f>IF(G302="","",ROW()-1)</f>
        <v/>
      </c>
      <c r="B302" s="8" t="n"/>
      <c r="G302" s="3" t="n"/>
      <c r="H302" s="3" t="n"/>
      <c r="I302" s="3" t="n"/>
      <c r="J302" s="3" t="n"/>
      <c r="K302" s="3" t="n"/>
      <c r="L302" s="3" t="n"/>
      <c r="M302" s="3">
        <f>IF(G302="","",G302*H302)</f>
        <v/>
      </c>
      <c r="N302" s="3">
        <f>IF(G302="","",Settings!$C$5)</f>
        <v/>
      </c>
      <c r="O302" s="3">
        <f>IF(G302="","",IF(F302="SELL",M302*IF(E302="Equity Intraday",Settings!$C$8,Settings!$C$7),0))</f>
        <v/>
      </c>
      <c r="P302" s="3">
        <f>IF(G302="","",M302*(Settings!$C$9+Settings!$C$10))</f>
        <v/>
      </c>
      <c r="Q302" s="3">
        <f>IF(G302="","",IF(F302="BUY",M302*Settings!$C$11,0))</f>
        <v/>
      </c>
      <c r="R302" s="3">
        <f>IF(G302="","",N302*Settings!$C$6)</f>
        <v/>
      </c>
      <c r="S302" s="3">
        <f>IF(G302="","",IF(AND(F302="SELL",E302="Equity Delivery"),Settings!$C$13,0))</f>
        <v/>
      </c>
      <c r="T302" s="3">
        <f>IF(G302="","",SUM(N302:S302))</f>
        <v/>
      </c>
      <c r="U302" s="3">
        <f>IF(G302="","",IF(F302="BUY",-(M302+T302),M302-T302))</f>
        <v/>
      </c>
      <c r="V302">
        <f>IF(G302="","",Settings!$C$4+SUM($U$2:U302))</f>
        <v/>
      </c>
    </row>
    <row r="303">
      <c r="A303">
        <f>IF(G303="","",ROW()-1)</f>
        <v/>
      </c>
      <c r="B303" s="8" t="n"/>
      <c r="G303" s="3" t="n"/>
      <c r="H303" s="3" t="n"/>
      <c r="I303" s="3" t="n"/>
      <c r="J303" s="3" t="n"/>
      <c r="K303" s="3" t="n"/>
      <c r="L303" s="3" t="n"/>
      <c r="M303" s="3">
        <f>IF(G303="","",G303*H303)</f>
        <v/>
      </c>
      <c r="N303" s="3">
        <f>IF(G303="","",Settings!$C$5)</f>
        <v/>
      </c>
      <c r="O303" s="3">
        <f>IF(G303="","",IF(F303="SELL",M303*IF(E303="Equity Intraday",Settings!$C$8,Settings!$C$7),0))</f>
        <v/>
      </c>
      <c r="P303" s="3">
        <f>IF(G303="","",M303*(Settings!$C$9+Settings!$C$10))</f>
        <v/>
      </c>
      <c r="Q303" s="3">
        <f>IF(G303="","",IF(F303="BUY",M303*Settings!$C$11,0))</f>
        <v/>
      </c>
      <c r="R303" s="3">
        <f>IF(G303="","",N303*Settings!$C$6)</f>
        <v/>
      </c>
      <c r="S303" s="3">
        <f>IF(G303="","",IF(AND(F303="SELL",E303="Equity Delivery"),Settings!$C$13,0))</f>
        <v/>
      </c>
      <c r="T303" s="3">
        <f>IF(G303="","",SUM(N303:S303))</f>
        <v/>
      </c>
      <c r="U303" s="3">
        <f>IF(G303="","",IF(F303="BUY",-(M303+T303),M303-T303))</f>
        <v/>
      </c>
      <c r="V303">
        <f>IF(G303="","",Settings!$C$4+SUM($U$2:U303))</f>
        <v/>
      </c>
    </row>
    <row r="304">
      <c r="A304">
        <f>IF(G304="","",ROW()-1)</f>
        <v/>
      </c>
      <c r="B304" s="8" t="n"/>
      <c r="G304" s="3" t="n"/>
      <c r="H304" s="3" t="n"/>
      <c r="I304" s="3" t="n"/>
      <c r="J304" s="3" t="n"/>
      <c r="K304" s="3" t="n"/>
      <c r="L304" s="3" t="n"/>
      <c r="M304" s="3">
        <f>IF(G304="","",G304*H304)</f>
        <v/>
      </c>
      <c r="N304" s="3">
        <f>IF(G304="","",Settings!$C$5)</f>
        <v/>
      </c>
      <c r="O304" s="3">
        <f>IF(G304="","",IF(F304="SELL",M304*IF(E304="Equity Intraday",Settings!$C$8,Settings!$C$7),0))</f>
        <v/>
      </c>
      <c r="P304" s="3">
        <f>IF(G304="","",M304*(Settings!$C$9+Settings!$C$10))</f>
        <v/>
      </c>
      <c r="Q304" s="3">
        <f>IF(G304="","",IF(F304="BUY",M304*Settings!$C$11,0))</f>
        <v/>
      </c>
      <c r="R304" s="3">
        <f>IF(G304="","",N304*Settings!$C$6)</f>
        <v/>
      </c>
      <c r="S304" s="3">
        <f>IF(G304="","",IF(AND(F304="SELL",E304="Equity Delivery"),Settings!$C$13,0))</f>
        <v/>
      </c>
      <c r="T304" s="3">
        <f>IF(G304="","",SUM(N304:S304))</f>
        <v/>
      </c>
      <c r="U304" s="3">
        <f>IF(G304="","",IF(F304="BUY",-(M304+T304),M304-T304))</f>
        <v/>
      </c>
      <c r="V304">
        <f>IF(G304="","",Settings!$C$4+SUM($U$2:U304))</f>
        <v/>
      </c>
    </row>
    <row r="305">
      <c r="A305">
        <f>IF(G305="","",ROW()-1)</f>
        <v/>
      </c>
      <c r="B305" s="8" t="n"/>
      <c r="G305" s="3" t="n"/>
      <c r="H305" s="3" t="n"/>
      <c r="I305" s="3" t="n"/>
      <c r="J305" s="3" t="n"/>
      <c r="K305" s="3" t="n"/>
      <c r="L305" s="3" t="n"/>
      <c r="M305" s="3">
        <f>IF(G305="","",G305*H305)</f>
        <v/>
      </c>
      <c r="N305" s="3">
        <f>IF(G305="","",Settings!$C$5)</f>
        <v/>
      </c>
      <c r="O305" s="3">
        <f>IF(G305="","",IF(F305="SELL",M305*IF(E305="Equity Intraday",Settings!$C$8,Settings!$C$7),0))</f>
        <v/>
      </c>
      <c r="P305" s="3">
        <f>IF(G305="","",M305*(Settings!$C$9+Settings!$C$10))</f>
        <v/>
      </c>
      <c r="Q305" s="3">
        <f>IF(G305="","",IF(F305="BUY",M305*Settings!$C$11,0))</f>
        <v/>
      </c>
      <c r="R305" s="3">
        <f>IF(G305="","",N305*Settings!$C$6)</f>
        <v/>
      </c>
      <c r="S305" s="3">
        <f>IF(G305="","",IF(AND(F305="SELL",E305="Equity Delivery"),Settings!$C$13,0))</f>
        <v/>
      </c>
      <c r="T305" s="3">
        <f>IF(G305="","",SUM(N305:S305))</f>
        <v/>
      </c>
      <c r="U305" s="3">
        <f>IF(G305="","",IF(F305="BUY",-(M305+T305),M305-T305))</f>
        <v/>
      </c>
      <c r="V305">
        <f>IF(G305="","",Settings!$C$4+SUM($U$2:U305))</f>
        <v/>
      </c>
    </row>
    <row r="306">
      <c r="A306">
        <f>IF(G306="","",ROW()-1)</f>
        <v/>
      </c>
      <c r="B306" s="8" t="n"/>
      <c r="G306" s="3" t="n"/>
      <c r="H306" s="3" t="n"/>
      <c r="I306" s="3" t="n"/>
      <c r="J306" s="3" t="n"/>
      <c r="K306" s="3" t="n"/>
      <c r="L306" s="3" t="n"/>
      <c r="M306" s="3">
        <f>IF(G306="","",G306*H306)</f>
        <v/>
      </c>
      <c r="N306" s="3">
        <f>IF(G306="","",Settings!$C$5)</f>
        <v/>
      </c>
      <c r="O306" s="3">
        <f>IF(G306="","",IF(F306="SELL",M306*IF(E306="Equity Intraday",Settings!$C$8,Settings!$C$7),0))</f>
        <v/>
      </c>
      <c r="P306" s="3">
        <f>IF(G306="","",M306*(Settings!$C$9+Settings!$C$10))</f>
        <v/>
      </c>
      <c r="Q306" s="3">
        <f>IF(G306="","",IF(F306="BUY",M306*Settings!$C$11,0))</f>
        <v/>
      </c>
      <c r="R306" s="3">
        <f>IF(G306="","",N306*Settings!$C$6)</f>
        <v/>
      </c>
      <c r="S306" s="3">
        <f>IF(G306="","",IF(AND(F306="SELL",E306="Equity Delivery"),Settings!$C$13,0))</f>
        <v/>
      </c>
      <c r="T306" s="3">
        <f>IF(G306="","",SUM(N306:S306))</f>
        <v/>
      </c>
      <c r="U306" s="3">
        <f>IF(G306="","",IF(F306="BUY",-(M306+T306),M306-T306))</f>
        <v/>
      </c>
      <c r="V306">
        <f>IF(G306="","",Settings!$C$4+SUM($U$2:U306))</f>
        <v/>
      </c>
    </row>
    <row r="307">
      <c r="A307">
        <f>IF(G307="","",ROW()-1)</f>
        <v/>
      </c>
      <c r="B307" s="8" t="n"/>
      <c r="G307" s="3" t="n"/>
      <c r="H307" s="3" t="n"/>
      <c r="I307" s="3" t="n"/>
      <c r="J307" s="3" t="n"/>
      <c r="K307" s="3" t="n"/>
      <c r="L307" s="3" t="n"/>
      <c r="M307" s="3">
        <f>IF(G307="","",G307*H307)</f>
        <v/>
      </c>
      <c r="N307" s="3">
        <f>IF(G307="","",Settings!$C$5)</f>
        <v/>
      </c>
      <c r="O307" s="3">
        <f>IF(G307="","",IF(F307="SELL",M307*IF(E307="Equity Intraday",Settings!$C$8,Settings!$C$7),0))</f>
        <v/>
      </c>
      <c r="P307" s="3">
        <f>IF(G307="","",M307*(Settings!$C$9+Settings!$C$10))</f>
        <v/>
      </c>
      <c r="Q307" s="3">
        <f>IF(G307="","",IF(F307="BUY",M307*Settings!$C$11,0))</f>
        <v/>
      </c>
      <c r="R307" s="3">
        <f>IF(G307="","",N307*Settings!$C$6)</f>
        <v/>
      </c>
      <c r="S307" s="3">
        <f>IF(G307="","",IF(AND(F307="SELL",E307="Equity Delivery"),Settings!$C$13,0))</f>
        <v/>
      </c>
      <c r="T307" s="3">
        <f>IF(G307="","",SUM(N307:S307))</f>
        <v/>
      </c>
      <c r="U307" s="3">
        <f>IF(G307="","",IF(F307="BUY",-(M307+T307),M307-T307))</f>
        <v/>
      </c>
      <c r="V307">
        <f>IF(G307="","",Settings!$C$4+SUM($U$2:U307))</f>
        <v/>
      </c>
    </row>
    <row r="308">
      <c r="A308">
        <f>IF(G308="","",ROW()-1)</f>
        <v/>
      </c>
      <c r="B308" s="8" t="n"/>
      <c r="G308" s="3" t="n"/>
      <c r="H308" s="3" t="n"/>
      <c r="I308" s="3" t="n"/>
      <c r="J308" s="3" t="n"/>
      <c r="K308" s="3" t="n"/>
      <c r="L308" s="3" t="n"/>
      <c r="M308" s="3">
        <f>IF(G308="","",G308*H308)</f>
        <v/>
      </c>
      <c r="N308" s="3">
        <f>IF(G308="","",Settings!$C$5)</f>
        <v/>
      </c>
      <c r="O308" s="3">
        <f>IF(G308="","",IF(F308="SELL",M308*IF(E308="Equity Intraday",Settings!$C$8,Settings!$C$7),0))</f>
        <v/>
      </c>
      <c r="P308" s="3">
        <f>IF(G308="","",M308*(Settings!$C$9+Settings!$C$10))</f>
        <v/>
      </c>
      <c r="Q308" s="3">
        <f>IF(G308="","",IF(F308="BUY",M308*Settings!$C$11,0))</f>
        <v/>
      </c>
      <c r="R308" s="3">
        <f>IF(G308="","",N308*Settings!$C$6)</f>
        <v/>
      </c>
      <c r="S308" s="3">
        <f>IF(G308="","",IF(AND(F308="SELL",E308="Equity Delivery"),Settings!$C$13,0))</f>
        <v/>
      </c>
      <c r="T308" s="3">
        <f>IF(G308="","",SUM(N308:S308))</f>
        <v/>
      </c>
      <c r="U308" s="3">
        <f>IF(G308="","",IF(F308="BUY",-(M308+T308),M308-T308))</f>
        <v/>
      </c>
      <c r="V308">
        <f>IF(G308="","",Settings!$C$4+SUM($U$2:U308))</f>
        <v/>
      </c>
    </row>
    <row r="309">
      <c r="A309">
        <f>IF(G309="","",ROW()-1)</f>
        <v/>
      </c>
      <c r="B309" s="8" t="n"/>
      <c r="G309" s="3" t="n"/>
      <c r="H309" s="3" t="n"/>
      <c r="I309" s="3" t="n"/>
      <c r="J309" s="3" t="n"/>
      <c r="K309" s="3" t="n"/>
      <c r="L309" s="3" t="n"/>
      <c r="M309" s="3">
        <f>IF(G309="","",G309*H309)</f>
        <v/>
      </c>
      <c r="N309" s="3">
        <f>IF(G309="","",Settings!$C$5)</f>
        <v/>
      </c>
      <c r="O309" s="3">
        <f>IF(G309="","",IF(F309="SELL",M309*IF(E309="Equity Intraday",Settings!$C$8,Settings!$C$7),0))</f>
        <v/>
      </c>
      <c r="P309" s="3">
        <f>IF(G309="","",M309*(Settings!$C$9+Settings!$C$10))</f>
        <v/>
      </c>
      <c r="Q309" s="3">
        <f>IF(G309="","",IF(F309="BUY",M309*Settings!$C$11,0))</f>
        <v/>
      </c>
      <c r="R309" s="3">
        <f>IF(G309="","",N309*Settings!$C$6)</f>
        <v/>
      </c>
      <c r="S309" s="3">
        <f>IF(G309="","",IF(AND(F309="SELL",E309="Equity Delivery"),Settings!$C$13,0))</f>
        <v/>
      </c>
      <c r="T309" s="3">
        <f>IF(G309="","",SUM(N309:S309))</f>
        <v/>
      </c>
      <c r="U309" s="3">
        <f>IF(G309="","",IF(F309="BUY",-(M309+T309),M309-T309))</f>
        <v/>
      </c>
      <c r="V309">
        <f>IF(G309="","",Settings!$C$4+SUM($U$2:U309))</f>
        <v/>
      </c>
    </row>
    <row r="310">
      <c r="A310">
        <f>IF(G310="","",ROW()-1)</f>
        <v/>
      </c>
      <c r="B310" s="8" t="n"/>
      <c r="G310" s="3" t="n"/>
      <c r="H310" s="3" t="n"/>
      <c r="I310" s="3" t="n"/>
      <c r="J310" s="3" t="n"/>
      <c r="K310" s="3" t="n"/>
      <c r="L310" s="3" t="n"/>
      <c r="M310" s="3">
        <f>IF(G310="","",G310*H310)</f>
        <v/>
      </c>
      <c r="N310" s="3">
        <f>IF(G310="","",Settings!$C$5)</f>
        <v/>
      </c>
      <c r="O310" s="3">
        <f>IF(G310="","",IF(F310="SELL",M310*IF(E310="Equity Intraday",Settings!$C$8,Settings!$C$7),0))</f>
        <v/>
      </c>
      <c r="P310" s="3">
        <f>IF(G310="","",M310*(Settings!$C$9+Settings!$C$10))</f>
        <v/>
      </c>
      <c r="Q310" s="3">
        <f>IF(G310="","",IF(F310="BUY",M310*Settings!$C$11,0))</f>
        <v/>
      </c>
      <c r="R310" s="3">
        <f>IF(G310="","",N310*Settings!$C$6)</f>
        <v/>
      </c>
      <c r="S310" s="3">
        <f>IF(G310="","",IF(AND(F310="SELL",E310="Equity Delivery"),Settings!$C$13,0))</f>
        <v/>
      </c>
      <c r="T310" s="3">
        <f>IF(G310="","",SUM(N310:S310))</f>
        <v/>
      </c>
      <c r="U310" s="3">
        <f>IF(G310="","",IF(F310="BUY",-(M310+T310),M310-T310))</f>
        <v/>
      </c>
      <c r="V310">
        <f>IF(G310="","",Settings!$C$4+SUM($U$2:U310))</f>
        <v/>
      </c>
    </row>
    <row r="311">
      <c r="A311">
        <f>IF(G311="","",ROW()-1)</f>
        <v/>
      </c>
      <c r="B311" s="8" t="n"/>
      <c r="G311" s="3" t="n"/>
      <c r="H311" s="3" t="n"/>
      <c r="I311" s="3" t="n"/>
      <c r="J311" s="3" t="n"/>
      <c r="K311" s="3" t="n"/>
      <c r="L311" s="3" t="n"/>
      <c r="M311" s="3">
        <f>IF(G311="","",G311*H311)</f>
        <v/>
      </c>
      <c r="N311" s="3">
        <f>IF(G311="","",Settings!$C$5)</f>
        <v/>
      </c>
      <c r="O311" s="3">
        <f>IF(G311="","",IF(F311="SELL",M311*IF(E311="Equity Intraday",Settings!$C$8,Settings!$C$7),0))</f>
        <v/>
      </c>
      <c r="P311" s="3">
        <f>IF(G311="","",M311*(Settings!$C$9+Settings!$C$10))</f>
        <v/>
      </c>
      <c r="Q311" s="3">
        <f>IF(G311="","",IF(F311="BUY",M311*Settings!$C$11,0))</f>
        <v/>
      </c>
      <c r="R311" s="3">
        <f>IF(G311="","",N311*Settings!$C$6)</f>
        <v/>
      </c>
      <c r="S311" s="3">
        <f>IF(G311="","",IF(AND(F311="SELL",E311="Equity Delivery"),Settings!$C$13,0))</f>
        <v/>
      </c>
      <c r="T311" s="3">
        <f>IF(G311="","",SUM(N311:S311))</f>
        <v/>
      </c>
      <c r="U311" s="3">
        <f>IF(G311="","",IF(F311="BUY",-(M311+T311),M311-T311))</f>
        <v/>
      </c>
      <c r="V311">
        <f>IF(G311="","",Settings!$C$4+SUM($U$2:U311))</f>
        <v/>
      </c>
    </row>
    <row r="312">
      <c r="A312">
        <f>IF(G312="","",ROW()-1)</f>
        <v/>
      </c>
      <c r="B312" s="8" t="n"/>
      <c r="G312" s="3" t="n"/>
      <c r="H312" s="3" t="n"/>
      <c r="I312" s="3" t="n"/>
      <c r="J312" s="3" t="n"/>
      <c r="K312" s="3" t="n"/>
      <c r="L312" s="3" t="n"/>
      <c r="M312" s="3">
        <f>IF(G312="","",G312*H312)</f>
        <v/>
      </c>
      <c r="N312" s="3">
        <f>IF(G312="","",Settings!$C$5)</f>
        <v/>
      </c>
      <c r="O312" s="3">
        <f>IF(G312="","",IF(F312="SELL",M312*IF(E312="Equity Intraday",Settings!$C$8,Settings!$C$7),0))</f>
        <v/>
      </c>
      <c r="P312" s="3">
        <f>IF(G312="","",M312*(Settings!$C$9+Settings!$C$10))</f>
        <v/>
      </c>
      <c r="Q312" s="3">
        <f>IF(G312="","",IF(F312="BUY",M312*Settings!$C$11,0))</f>
        <v/>
      </c>
      <c r="R312" s="3">
        <f>IF(G312="","",N312*Settings!$C$6)</f>
        <v/>
      </c>
      <c r="S312" s="3">
        <f>IF(G312="","",IF(AND(F312="SELL",E312="Equity Delivery"),Settings!$C$13,0))</f>
        <v/>
      </c>
      <c r="T312" s="3">
        <f>IF(G312="","",SUM(N312:S312))</f>
        <v/>
      </c>
      <c r="U312" s="3">
        <f>IF(G312="","",IF(F312="BUY",-(M312+T312),M312-T312))</f>
        <v/>
      </c>
      <c r="V312">
        <f>IF(G312="","",Settings!$C$4+SUM($U$2:U312))</f>
        <v/>
      </c>
    </row>
    <row r="313">
      <c r="A313">
        <f>IF(G313="","",ROW()-1)</f>
        <v/>
      </c>
      <c r="B313" s="8" t="n"/>
      <c r="G313" s="3" t="n"/>
      <c r="H313" s="3" t="n"/>
      <c r="I313" s="3" t="n"/>
      <c r="J313" s="3" t="n"/>
      <c r="K313" s="3" t="n"/>
      <c r="L313" s="3" t="n"/>
      <c r="M313" s="3">
        <f>IF(G313="","",G313*H313)</f>
        <v/>
      </c>
      <c r="N313" s="3">
        <f>IF(G313="","",Settings!$C$5)</f>
        <v/>
      </c>
      <c r="O313" s="3">
        <f>IF(G313="","",IF(F313="SELL",M313*IF(E313="Equity Intraday",Settings!$C$8,Settings!$C$7),0))</f>
        <v/>
      </c>
      <c r="P313" s="3">
        <f>IF(G313="","",M313*(Settings!$C$9+Settings!$C$10))</f>
        <v/>
      </c>
      <c r="Q313" s="3">
        <f>IF(G313="","",IF(F313="BUY",M313*Settings!$C$11,0))</f>
        <v/>
      </c>
      <c r="R313" s="3">
        <f>IF(G313="","",N313*Settings!$C$6)</f>
        <v/>
      </c>
      <c r="S313" s="3">
        <f>IF(G313="","",IF(AND(F313="SELL",E313="Equity Delivery"),Settings!$C$13,0))</f>
        <v/>
      </c>
      <c r="T313" s="3">
        <f>IF(G313="","",SUM(N313:S313))</f>
        <v/>
      </c>
      <c r="U313" s="3">
        <f>IF(G313="","",IF(F313="BUY",-(M313+T313),M313-T313))</f>
        <v/>
      </c>
      <c r="V313">
        <f>IF(G313="","",Settings!$C$4+SUM($U$2:U313))</f>
        <v/>
      </c>
    </row>
    <row r="314">
      <c r="A314">
        <f>IF(G314="","",ROW()-1)</f>
        <v/>
      </c>
      <c r="B314" s="8" t="n"/>
      <c r="G314" s="3" t="n"/>
      <c r="H314" s="3" t="n"/>
      <c r="I314" s="3" t="n"/>
      <c r="J314" s="3" t="n"/>
      <c r="K314" s="3" t="n"/>
      <c r="L314" s="3" t="n"/>
      <c r="M314" s="3">
        <f>IF(G314="","",G314*H314)</f>
        <v/>
      </c>
      <c r="N314" s="3">
        <f>IF(G314="","",Settings!$C$5)</f>
        <v/>
      </c>
      <c r="O314" s="3">
        <f>IF(G314="","",IF(F314="SELL",M314*IF(E314="Equity Intraday",Settings!$C$8,Settings!$C$7),0))</f>
        <v/>
      </c>
      <c r="P314" s="3">
        <f>IF(G314="","",M314*(Settings!$C$9+Settings!$C$10))</f>
        <v/>
      </c>
      <c r="Q314" s="3">
        <f>IF(G314="","",IF(F314="BUY",M314*Settings!$C$11,0))</f>
        <v/>
      </c>
      <c r="R314" s="3">
        <f>IF(G314="","",N314*Settings!$C$6)</f>
        <v/>
      </c>
      <c r="S314" s="3">
        <f>IF(G314="","",IF(AND(F314="SELL",E314="Equity Delivery"),Settings!$C$13,0))</f>
        <v/>
      </c>
      <c r="T314" s="3">
        <f>IF(G314="","",SUM(N314:S314))</f>
        <v/>
      </c>
      <c r="U314" s="3">
        <f>IF(G314="","",IF(F314="BUY",-(M314+T314),M314-T314))</f>
        <v/>
      </c>
      <c r="V314">
        <f>IF(G314="","",Settings!$C$4+SUM($U$2:U314))</f>
        <v/>
      </c>
    </row>
    <row r="315">
      <c r="A315">
        <f>IF(G315="","",ROW()-1)</f>
        <v/>
      </c>
      <c r="B315" s="8" t="n"/>
      <c r="G315" s="3" t="n"/>
      <c r="H315" s="3" t="n"/>
      <c r="I315" s="3" t="n"/>
      <c r="J315" s="3" t="n"/>
      <c r="K315" s="3" t="n"/>
      <c r="L315" s="3" t="n"/>
      <c r="M315" s="3">
        <f>IF(G315="","",G315*H315)</f>
        <v/>
      </c>
      <c r="N315" s="3">
        <f>IF(G315="","",Settings!$C$5)</f>
        <v/>
      </c>
      <c r="O315" s="3">
        <f>IF(G315="","",IF(F315="SELL",M315*IF(E315="Equity Intraday",Settings!$C$8,Settings!$C$7),0))</f>
        <v/>
      </c>
      <c r="P315" s="3">
        <f>IF(G315="","",M315*(Settings!$C$9+Settings!$C$10))</f>
        <v/>
      </c>
      <c r="Q315" s="3">
        <f>IF(G315="","",IF(F315="BUY",M315*Settings!$C$11,0))</f>
        <v/>
      </c>
      <c r="R315" s="3">
        <f>IF(G315="","",N315*Settings!$C$6)</f>
        <v/>
      </c>
      <c r="S315" s="3">
        <f>IF(G315="","",IF(AND(F315="SELL",E315="Equity Delivery"),Settings!$C$13,0))</f>
        <v/>
      </c>
      <c r="T315" s="3">
        <f>IF(G315="","",SUM(N315:S315))</f>
        <v/>
      </c>
      <c r="U315" s="3">
        <f>IF(G315="","",IF(F315="BUY",-(M315+T315),M315-T315))</f>
        <v/>
      </c>
      <c r="V315">
        <f>IF(G315="","",Settings!$C$4+SUM($U$2:U315))</f>
        <v/>
      </c>
    </row>
    <row r="316">
      <c r="A316">
        <f>IF(G316="","",ROW()-1)</f>
        <v/>
      </c>
      <c r="B316" s="8" t="n"/>
      <c r="G316" s="3" t="n"/>
      <c r="H316" s="3" t="n"/>
      <c r="I316" s="3" t="n"/>
      <c r="J316" s="3" t="n"/>
      <c r="K316" s="3" t="n"/>
      <c r="L316" s="3" t="n"/>
      <c r="M316" s="3">
        <f>IF(G316="","",G316*H316)</f>
        <v/>
      </c>
      <c r="N316" s="3">
        <f>IF(G316="","",Settings!$C$5)</f>
        <v/>
      </c>
      <c r="O316" s="3">
        <f>IF(G316="","",IF(F316="SELL",M316*IF(E316="Equity Intraday",Settings!$C$8,Settings!$C$7),0))</f>
        <v/>
      </c>
      <c r="P316" s="3">
        <f>IF(G316="","",M316*(Settings!$C$9+Settings!$C$10))</f>
        <v/>
      </c>
      <c r="Q316" s="3">
        <f>IF(G316="","",IF(F316="BUY",M316*Settings!$C$11,0))</f>
        <v/>
      </c>
      <c r="R316" s="3">
        <f>IF(G316="","",N316*Settings!$C$6)</f>
        <v/>
      </c>
      <c r="S316" s="3">
        <f>IF(G316="","",IF(AND(F316="SELL",E316="Equity Delivery"),Settings!$C$13,0))</f>
        <v/>
      </c>
      <c r="T316" s="3">
        <f>IF(G316="","",SUM(N316:S316))</f>
        <v/>
      </c>
      <c r="U316" s="3">
        <f>IF(G316="","",IF(F316="BUY",-(M316+T316),M316-T316))</f>
        <v/>
      </c>
      <c r="V316">
        <f>IF(G316="","",Settings!$C$4+SUM($U$2:U316))</f>
        <v/>
      </c>
    </row>
    <row r="317">
      <c r="A317">
        <f>IF(G317="","",ROW()-1)</f>
        <v/>
      </c>
      <c r="B317" s="8" t="n"/>
      <c r="G317" s="3" t="n"/>
      <c r="H317" s="3" t="n"/>
      <c r="I317" s="3" t="n"/>
      <c r="J317" s="3" t="n"/>
      <c r="K317" s="3" t="n"/>
      <c r="L317" s="3" t="n"/>
      <c r="M317" s="3">
        <f>IF(G317="","",G317*H317)</f>
        <v/>
      </c>
      <c r="N317" s="3">
        <f>IF(G317="","",Settings!$C$5)</f>
        <v/>
      </c>
      <c r="O317" s="3">
        <f>IF(G317="","",IF(F317="SELL",M317*IF(E317="Equity Intraday",Settings!$C$8,Settings!$C$7),0))</f>
        <v/>
      </c>
      <c r="P317" s="3">
        <f>IF(G317="","",M317*(Settings!$C$9+Settings!$C$10))</f>
        <v/>
      </c>
      <c r="Q317" s="3">
        <f>IF(G317="","",IF(F317="BUY",M317*Settings!$C$11,0))</f>
        <v/>
      </c>
      <c r="R317" s="3">
        <f>IF(G317="","",N317*Settings!$C$6)</f>
        <v/>
      </c>
      <c r="S317" s="3">
        <f>IF(G317="","",IF(AND(F317="SELL",E317="Equity Delivery"),Settings!$C$13,0))</f>
        <v/>
      </c>
      <c r="T317" s="3">
        <f>IF(G317="","",SUM(N317:S317))</f>
        <v/>
      </c>
      <c r="U317" s="3">
        <f>IF(G317="","",IF(F317="BUY",-(M317+T317),M317-T317))</f>
        <v/>
      </c>
      <c r="V317">
        <f>IF(G317="","",Settings!$C$4+SUM($U$2:U317))</f>
        <v/>
      </c>
    </row>
    <row r="318">
      <c r="A318">
        <f>IF(G318="","",ROW()-1)</f>
        <v/>
      </c>
      <c r="B318" s="8" t="n"/>
      <c r="G318" s="3" t="n"/>
      <c r="H318" s="3" t="n"/>
      <c r="I318" s="3" t="n"/>
      <c r="J318" s="3" t="n"/>
      <c r="K318" s="3" t="n"/>
      <c r="L318" s="3" t="n"/>
      <c r="M318" s="3">
        <f>IF(G318="","",G318*H318)</f>
        <v/>
      </c>
      <c r="N318" s="3">
        <f>IF(G318="","",Settings!$C$5)</f>
        <v/>
      </c>
      <c r="O318" s="3">
        <f>IF(G318="","",IF(F318="SELL",M318*IF(E318="Equity Intraday",Settings!$C$8,Settings!$C$7),0))</f>
        <v/>
      </c>
      <c r="P318" s="3">
        <f>IF(G318="","",M318*(Settings!$C$9+Settings!$C$10))</f>
        <v/>
      </c>
      <c r="Q318" s="3">
        <f>IF(G318="","",IF(F318="BUY",M318*Settings!$C$11,0))</f>
        <v/>
      </c>
      <c r="R318" s="3">
        <f>IF(G318="","",N318*Settings!$C$6)</f>
        <v/>
      </c>
      <c r="S318" s="3">
        <f>IF(G318="","",IF(AND(F318="SELL",E318="Equity Delivery"),Settings!$C$13,0))</f>
        <v/>
      </c>
      <c r="T318" s="3">
        <f>IF(G318="","",SUM(N318:S318))</f>
        <v/>
      </c>
      <c r="U318" s="3">
        <f>IF(G318="","",IF(F318="BUY",-(M318+T318),M318-T318))</f>
        <v/>
      </c>
      <c r="V318">
        <f>IF(G318="","",Settings!$C$4+SUM($U$2:U318))</f>
        <v/>
      </c>
    </row>
    <row r="319">
      <c r="A319">
        <f>IF(G319="","",ROW()-1)</f>
        <v/>
      </c>
      <c r="B319" s="8" t="n"/>
      <c r="G319" s="3" t="n"/>
      <c r="H319" s="3" t="n"/>
      <c r="I319" s="3" t="n"/>
      <c r="J319" s="3" t="n"/>
      <c r="K319" s="3" t="n"/>
      <c r="L319" s="3" t="n"/>
      <c r="M319" s="3">
        <f>IF(G319="","",G319*H319)</f>
        <v/>
      </c>
      <c r="N319" s="3">
        <f>IF(G319="","",Settings!$C$5)</f>
        <v/>
      </c>
      <c r="O319" s="3">
        <f>IF(G319="","",IF(F319="SELL",M319*IF(E319="Equity Intraday",Settings!$C$8,Settings!$C$7),0))</f>
        <v/>
      </c>
      <c r="P319" s="3">
        <f>IF(G319="","",M319*(Settings!$C$9+Settings!$C$10))</f>
        <v/>
      </c>
      <c r="Q319" s="3">
        <f>IF(G319="","",IF(F319="BUY",M319*Settings!$C$11,0))</f>
        <v/>
      </c>
      <c r="R319" s="3">
        <f>IF(G319="","",N319*Settings!$C$6)</f>
        <v/>
      </c>
      <c r="S319" s="3">
        <f>IF(G319="","",IF(AND(F319="SELL",E319="Equity Delivery"),Settings!$C$13,0))</f>
        <v/>
      </c>
      <c r="T319" s="3">
        <f>IF(G319="","",SUM(N319:S319))</f>
        <v/>
      </c>
      <c r="U319" s="3">
        <f>IF(G319="","",IF(F319="BUY",-(M319+T319),M319-T319))</f>
        <v/>
      </c>
      <c r="V319">
        <f>IF(G319="","",Settings!$C$4+SUM($U$2:U319))</f>
        <v/>
      </c>
    </row>
    <row r="320">
      <c r="A320">
        <f>IF(G320="","",ROW()-1)</f>
        <v/>
      </c>
      <c r="B320" s="8" t="n"/>
      <c r="G320" s="3" t="n"/>
      <c r="H320" s="3" t="n"/>
      <c r="I320" s="3" t="n"/>
      <c r="J320" s="3" t="n"/>
      <c r="K320" s="3" t="n"/>
      <c r="L320" s="3" t="n"/>
      <c r="M320" s="3">
        <f>IF(G320="","",G320*H320)</f>
        <v/>
      </c>
      <c r="N320" s="3">
        <f>IF(G320="","",Settings!$C$5)</f>
        <v/>
      </c>
      <c r="O320" s="3">
        <f>IF(G320="","",IF(F320="SELL",M320*IF(E320="Equity Intraday",Settings!$C$8,Settings!$C$7),0))</f>
        <v/>
      </c>
      <c r="P320" s="3">
        <f>IF(G320="","",M320*(Settings!$C$9+Settings!$C$10))</f>
        <v/>
      </c>
      <c r="Q320" s="3">
        <f>IF(G320="","",IF(F320="BUY",M320*Settings!$C$11,0))</f>
        <v/>
      </c>
      <c r="R320" s="3">
        <f>IF(G320="","",N320*Settings!$C$6)</f>
        <v/>
      </c>
      <c r="S320" s="3">
        <f>IF(G320="","",IF(AND(F320="SELL",E320="Equity Delivery"),Settings!$C$13,0))</f>
        <v/>
      </c>
      <c r="T320" s="3">
        <f>IF(G320="","",SUM(N320:S320))</f>
        <v/>
      </c>
      <c r="U320" s="3">
        <f>IF(G320="","",IF(F320="BUY",-(M320+T320),M320-T320))</f>
        <v/>
      </c>
      <c r="V320">
        <f>IF(G320="","",Settings!$C$4+SUM($U$2:U320))</f>
        <v/>
      </c>
    </row>
    <row r="321">
      <c r="A321">
        <f>IF(G321="","",ROW()-1)</f>
        <v/>
      </c>
      <c r="B321" s="8" t="n"/>
      <c r="G321" s="3" t="n"/>
      <c r="H321" s="3" t="n"/>
      <c r="I321" s="3" t="n"/>
      <c r="J321" s="3" t="n"/>
      <c r="K321" s="3" t="n"/>
      <c r="L321" s="3" t="n"/>
      <c r="M321" s="3">
        <f>IF(G321="","",G321*H321)</f>
        <v/>
      </c>
      <c r="N321" s="3">
        <f>IF(G321="","",Settings!$C$5)</f>
        <v/>
      </c>
      <c r="O321" s="3">
        <f>IF(G321="","",IF(F321="SELL",M321*IF(E321="Equity Intraday",Settings!$C$8,Settings!$C$7),0))</f>
        <v/>
      </c>
      <c r="P321" s="3">
        <f>IF(G321="","",M321*(Settings!$C$9+Settings!$C$10))</f>
        <v/>
      </c>
      <c r="Q321" s="3">
        <f>IF(G321="","",IF(F321="BUY",M321*Settings!$C$11,0))</f>
        <v/>
      </c>
      <c r="R321" s="3">
        <f>IF(G321="","",N321*Settings!$C$6)</f>
        <v/>
      </c>
      <c r="S321" s="3">
        <f>IF(G321="","",IF(AND(F321="SELL",E321="Equity Delivery"),Settings!$C$13,0))</f>
        <v/>
      </c>
      <c r="T321" s="3">
        <f>IF(G321="","",SUM(N321:S321))</f>
        <v/>
      </c>
      <c r="U321" s="3">
        <f>IF(G321="","",IF(F321="BUY",-(M321+T321),M321-T321))</f>
        <v/>
      </c>
      <c r="V321">
        <f>IF(G321="","",Settings!$C$4+SUM($U$2:U321))</f>
        <v/>
      </c>
    </row>
    <row r="322">
      <c r="A322">
        <f>IF(G322="","",ROW()-1)</f>
        <v/>
      </c>
      <c r="B322" s="8" t="n"/>
      <c r="G322" s="3" t="n"/>
      <c r="H322" s="3" t="n"/>
      <c r="I322" s="3" t="n"/>
      <c r="J322" s="3" t="n"/>
      <c r="K322" s="3" t="n"/>
      <c r="L322" s="3" t="n"/>
      <c r="M322" s="3">
        <f>IF(G322="","",G322*H322)</f>
        <v/>
      </c>
      <c r="N322" s="3">
        <f>IF(G322="","",Settings!$C$5)</f>
        <v/>
      </c>
      <c r="O322" s="3">
        <f>IF(G322="","",IF(F322="SELL",M322*IF(E322="Equity Intraday",Settings!$C$8,Settings!$C$7),0))</f>
        <v/>
      </c>
      <c r="P322" s="3">
        <f>IF(G322="","",M322*(Settings!$C$9+Settings!$C$10))</f>
        <v/>
      </c>
      <c r="Q322" s="3">
        <f>IF(G322="","",IF(F322="BUY",M322*Settings!$C$11,0))</f>
        <v/>
      </c>
      <c r="R322" s="3">
        <f>IF(G322="","",N322*Settings!$C$6)</f>
        <v/>
      </c>
      <c r="S322" s="3">
        <f>IF(G322="","",IF(AND(F322="SELL",E322="Equity Delivery"),Settings!$C$13,0))</f>
        <v/>
      </c>
      <c r="T322" s="3">
        <f>IF(G322="","",SUM(N322:S322))</f>
        <v/>
      </c>
      <c r="U322" s="3">
        <f>IF(G322="","",IF(F322="BUY",-(M322+T322),M322-T322))</f>
        <v/>
      </c>
      <c r="V322">
        <f>IF(G322="","",Settings!$C$4+SUM($U$2:U322))</f>
        <v/>
      </c>
    </row>
    <row r="323">
      <c r="A323">
        <f>IF(G323="","",ROW()-1)</f>
        <v/>
      </c>
      <c r="B323" s="8" t="n"/>
      <c r="G323" s="3" t="n"/>
      <c r="H323" s="3" t="n"/>
      <c r="I323" s="3" t="n"/>
      <c r="J323" s="3" t="n"/>
      <c r="K323" s="3" t="n"/>
      <c r="L323" s="3" t="n"/>
      <c r="M323" s="3">
        <f>IF(G323="","",G323*H323)</f>
        <v/>
      </c>
      <c r="N323" s="3">
        <f>IF(G323="","",Settings!$C$5)</f>
        <v/>
      </c>
      <c r="O323" s="3">
        <f>IF(G323="","",IF(F323="SELL",M323*IF(E323="Equity Intraday",Settings!$C$8,Settings!$C$7),0))</f>
        <v/>
      </c>
      <c r="P323" s="3">
        <f>IF(G323="","",M323*(Settings!$C$9+Settings!$C$10))</f>
        <v/>
      </c>
      <c r="Q323" s="3">
        <f>IF(G323="","",IF(F323="BUY",M323*Settings!$C$11,0))</f>
        <v/>
      </c>
      <c r="R323" s="3">
        <f>IF(G323="","",N323*Settings!$C$6)</f>
        <v/>
      </c>
      <c r="S323" s="3">
        <f>IF(G323="","",IF(AND(F323="SELL",E323="Equity Delivery"),Settings!$C$13,0))</f>
        <v/>
      </c>
      <c r="T323" s="3">
        <f>IF(G323="","",SUM(N323:S323))</f>
        <v/>
      </c>
      <c r="U323" s="3">
        <f>IF(G323="","",IF(F323="BUY",-(M323+T323),M323-T323))</f>
        <v/>
      </c>
      <c r="V323">
        <f>IF(G323="","",Settings!$C$4+SUM($U$2:U323))</f>
        <v/>
      </c>
    </row>
    <row r="324">
      <c r="A324">
        <f>IF(G324="","",ROW()-1)</f>
        <v/>
      </c>
      <c r="B324" s="8" t="n"/>
      <c r="G324" s="3" t="n"/>
      <c r="H324" s="3" t="n"/>
      <c r="I324" s="3" t="n"/>
      <c r="J324" s="3" t="n"/>
      <c r="K324" s="3" t="n"/>
      <c r="L324" s="3" t="n"/>
      <c r="M324" s="3">
        <f>IF(G324="","",G324*H324)</f>
        <v/>
      </c>
      <c r="N324" s="3">
        <f>IF(G324="","",Settings!$C$5)</f>
        <v/>
      </c>
      <c r="O324" s="3">
        <f>IF(G324="","",IF(F324="SELL",M324*IF(E324="Equity Intraday",Settings!$C$8,Settings!$C$7),0))</f>
        <v/>
      </c>
      <c r="P324" s="3">
        <f>IF(G324="","",M324*(Settings!$C$9+Settings!$C$10))</f>
        <v/>
      </c>
      <c r="Q324" s="3">
        <f>IF(G324="","",IF(F324="BUY",M324*Settings!$C$11,0))</f>
        <v/>
      </c>
      <c r="R324" s="3">
        <f>IF(G324="","",N324*Settings!$C$6)</f>
        <v/>
      </c>
      <c r="S324" s="3">
        <f>IF(G324="","",IF(AND(F324="SELL",E324="Equity Delivery"),Settings!$C$13,0))</f>
        <v/>
      </c>
      <c r="T324" s="3">
        <f>IF(G324="","",SUM(N324:S324))</f>
        <v/>
      </c>
      <c r="U324" s="3">
        <f>IF(G324="","",IF(F324="BUY",-(M324+T324),M324-T324))</f>
        <v/>
      </c>
      <c r="V324">
        <f>IF(G324="","",Settings!$C$4+SUM($U$2:U324))</f>
        <v/>
      </c>
    </row>
    <row r="325">
      <c r="A325">
        <f>IF(G325="","",ROW()-1)</f>
        <v/>
      </c>
      <c r="B325" s="8" t="n"/>
      <c r="G325" s="3" t="n"/>
      <c r="H325" s="3" t="n"/>
      <c r="I325" s="3" t="n"/>
      <c r="J325" s="3" t="n"/>
      <c r="K325" s="3" t="n"/>
      <c r="L325" s="3" t="n"/>
      <c r="M325" s="3">
        <f>IF(G325="","",G325*H325)</f>
        <v/>
      </c>
      <c r="N325" s="3">
        <f>IF(G325="","",Settings!$C$5)</f>
        <v/>
      </c>
      <c r="O325" s="3">
        <f>IF(G325="","",IF(F325="SELL",M325*IF(E325="Equity Intraday",Settings!$C$8,Settings!$C$7),0))</f>
        <v/>
      </c>
      <c r="P325" s="3">
        <f>IF(G325="","",M325*(Settings!$C$9+Settings!$C$10))</f>
        <v/>
      </c>
      <c r="Q325" s="3">
        <f>IF(G325="","",IF(F325="BUY",M325*Settings!$C$11,0))</f>
        <v/>
      </c>
      <c r="R325" s="3">
        <f>IF(G325="","",N325*Settings!$C$6)</f>
        <v/>
      </c>
      <c r="S325" s="3">
        <f>IF(G325="","",IF(AND(F325="SELL",E325="Equity Delivery"),Settings!$C$13,0))</f>
        <v/>
      </c>
      <c r="T325" s="3">
        <f>IF(G325="","",SUM(N325:S325))</f>
        <v/>
      </c>
      <c r="U325" s="3">
        <f>IF(G325="","",IF(F325="BUY",-(M325+T325),M325-T325))</f>
        <v/>
      </c>
      <c r="V325">
        <f>IF(G325="","",Settings!$C$4+SUM($U$2:U325))</f>
        <v/>
      </c>
    </row>
    <row r="326">
      <c r="A326">
        <f>IF(G326="","",ROW()-1)</f>
        <v/>
      </c>
      <c r="B326" s="8" t="n"/>
      <c r="G326" s="3" t="n"/>
      <c r="H326" s="3" t="n"/>
      <c r="I326" s="3" t="n"/>
      <c r="J326" s="3" t="n"/>
      <c r="K326" s="3" t="n"/>
      <c r="L326" s="3" t="n"/>
      <c r="M326" s="3">
        <f>IF(G326="","",G326*H326)</f>
        <v/>
      </c>
      <c r="N326" s="3">
        <f>IF(G326="","",Settings!$C$5)</f>
        <v/>
      </c>
      <c r="O326" s="3">
        <f>IF(G326="","",IF(F326="SELL",M326*IF(E326="Equity Intraday",Settings!$C$8,Settings!$C$7),0))</f>
        <v/>
      </c>
      <c r="P326" s="3">
        <f>IF(G326="","",M326*(Settings!$C$9+Settings!$C$10))</f>
        <v/>
      </c>
      <c r="Q326" s="3">
        <f>IF(G326="","",IF(F326="BUY",M326*Settings!$C$11,0))</f>
        <v/>
      </c>
      <c r="R326" s="3">
        <f>IF(G326="","",N326*Settings!$C$6)</f>
        <v/>
      </c>
      <c r="S326" s="3">
        <f>IF(G326="","",IF(AND(F326="SELL",E326="Equity Delivery"),Settings!$C$13,0))</f>
        <v/>
      </c>
      <c r="T326" s="3">
        <f>IF(G326="","",SUM(N326:S326))</f>
        <v/>
      </c>
      <c r="U326" s="3">
        <f>IF(G326="","",IF(F326="BUY",-(M326+T326),M326-T326))</f>
        <v/>
      </c>
      <c r="V326">
        <f>IF(G326="","",Settings!$C$4+SUM($U$2:U326))</f>
        <v/>
      </c>
    </row>
    <row r="327">
      <c r="A327">
        <f>IF(G327="","",ROW()-1)</f>
        <v/>
      </c>
      <c r="B327" s="8" t="n"/>
      <c r="G327" s="3" t="n"/>
      <c r="H327" s="3" t="n"/>
      <c r="I327" s="3" t="n"/>
      <c r="J327" s="3" t="n"/>
      <c r="K327" s="3" t="n"/>
      <c r="L327" s="3" t="n"/>
      <c r="M327" s="3">
        <f>IF(G327="","",G327*H327)</f>
        <v/>
      </c>
      <c r="N327" s="3">
        <f>IF(G327="","",Settings!$C$5)</f>
        <v/>
      </c>
      <c r="O327" s="3">
        <f>IF(G327="","",IF(F327="SELL",M327*IF(E327="Equity Intraday",Settings!$C$8,Settings!$C$7),0))</f>
        <v/>
      </c>
      <c r="P327" s="3">
        <f>IF(G327="","",M327*(Settings!$C$9+Settings!$C$10))</f>
        <v/>
      </c>
      <c r="Q327" s="3">
        <f>IF(G327="","",IF(F327="BUY",M327*Settings!$C$11,0))</f>
        <v/>
      </c>
      <c r="R327" s="3">
        <f>IF(G327="","",N327*Settings!$C$6)</f>
        <v/>
      </c>
      <c r="S327" s="3">
        <f>IF(G327="","",IF(AND(F327="SELL",E327="Equity Delivery"),Settings!$C$13,0))</f>
        <v/>
      </c>
      <c r="T327" s="3">
        <f>IF(G327="","",SUM(N327:S327))</f>
        <v/>
      </c>
      <c r="U327" s="3">
        <f>IF(G327="","",IF(F327="BUY",-(M327+T327),M327-T327))</f>
        <v/>
      </c>
      <c r="V327">
        <f>IF(G327="","",Settings!$C$4+SUM($U$2:U327))</f>
        <v/>
      </c>
    </row>
    <row r="328">
      <c r="A328">
        <f>IF(G328="","",ROW()-1)</f>
        <v/>
      </c>
      <c r="B328" s="8" t="n"/>
      <c r="G328" s="3" t="n"/>
      <c r="H328" s="3" t="n"/>
      <c r="I328" s="3" t="n"/>
      <c r="J328" s="3" t="n"/>
      <c r="K328" s="3" t="n"/>
      <c r="L328" s="3" t="n"/>
      <c r="M328" s="3">
        <f>IF(G328="","",G328*H328)</f>
        <v/>
      </c>
      <c r="N328" s="3">
        <f>IF(G328="","",Settings!$C$5)</f>
        <v/>
      </c>
      <c r="O328" s="3">
        <f>IF(G328="","",IF(F328="SELL",M328*IF(E328="Equity Intraday",Settings!$C$8,Settings!$C$7),0))</f>
        <v/>
      </c>
      <c r="P328" s="3">
        <f>IF(G328="","",M328*(Settings!$C$9+Settings!$C$10))</f>
        <v/>
      </c>
      <c r="Q328" s="3">
        <f>IF(G328="","",IF(F328="BUY",M328*Settings!$C$11,0))</f>
        <v/>
      </c>
      <c r="R328" s="3">
        <f>IF(G328="","",N328*Settings!$C$6)</f>
        <v/>
      </c>
      <c r="S328" s="3">
        <f>IF(G328="","",IF(AND(F328="SELL",E328="Equity Delivery"),Settings!$C$13,0))</f>
        <v/>
      </c>
      <c r="T328" s="3">
        <f>IF(G328="","",SUM(N328:S328))</f>
        <v/>
      </c>
      <c r="U328" s="3">
        <f>IF(G328="","",IF(F328="BUY",-(M328+T328),M328-T328))</f>
        <v/>
      </c>
      <c r="V328">
        <f>IF(G328="","",Settings!$C$4+SUM($U$2:U328))</f>
        <v/>
      </c>
    </row>
    <row r="329">
      <c r="A329">
        <f>IF(G329="","",ROW()-1)</f>
        <v/>
      </c>
      <c r="B329" s="8" t="n"/>
      <c r="G329" s="3" t="n"/>
      <c r="H329" s="3" t="n"/>
      <c r="I329" s="3" t="n"/>
      <c r="J329" s="3" t="n"/>
      <c r="K329" s="3" t="n"/>
      <c r="L329" s="3" t="n"/>
      <c r="M329" s="3">
        <f>IF(G329="","",G329*H329)</f>
        <v/>
      </c>
      <c r="N329" s="3">
        <f>IF(G329="","",Settings!$C$5)</f>
        <v/>
      </c>
      <c r="O329" s="3">
        <f>IF(G329="","",IF(F329="SELL",M329*IF(E329="Equity Intraday",Settings!$C$8,Settings!$C$7),0))</f>
        <v/>
      </c>
      <c r="P329" s="3">
        <f>IF(G329="","",M329*(Settings!$C$9+Settings!$C$10))</f>
        <v/>
      </c>
      <c r="Q329" s="3">
        <f>IF(G329="","",IF(F329="BUY",M329*Settings!$C$11,0))</f>
        <v/>
      </c>
      <c r="R329" s="3">
        <f>IF(G329="","",N329*Settings!$C$6)</f>
        <v/>
      </c>
      <c r="S329" s="3">
        <f>IF(G329="","",IF(AND(F329="SELL",E329="Equity Delivery"),Settings!$C$13,0))</f>
        <v/>
      </c>
      <c r="T329" s="3">
        <f>IF(G329="","",SUM(N329:S329))</f>
        <v/>
      </c>
      <c r="U329" s="3">
        <f>IF(G329="","",IF(F329="BUY",-(M329+T329),M329-T329))</f>
        <v/>
      </c>
      <c r="V329">
        <f>IF(G329="","",Settings!$C$4+SUM($U$2:U329))</f>
        <v/>
      </c>
    </row>
    <row r="330">
      <c r="A330">
        <f>IF(G330="","",ROW()-1)</f>
        <v/>
      </c>
      <c r="B330" s="8" t="n"/>
      <c r="G330" s="3" t="n"/>
      <c r="H330" s="3" t="n"/>
      <c r="I330" s="3" t="n"/>
      <c r="J330" s="3" t="n"/>
      <c r="K330" s="3" t="n"/>
      <c r="L330" s="3" t="n"/>
      <c r="M330" s="3">
        <f>IF(G330="","",G330*H330)</f>
        <v/>
      </c>
      <c r="N330" s="3">
        <f>IF(G330="","",Settings!$C$5)</f>
        <v/>
      </c>
      <c r="O330" s="3">
        <f>IF(G330="","",IF(F330="SELL",M330*IF(E330="Equity Intraday",Settings!$C$8,Settings!$C$7),0))</f>
        <v/>
      </c>
      <c r="P330" s="3">
        <f>IF(G330="","",M330*(Settings!$C$9+Settings!$C$10))</f>
        <v/>
      </c>
      <c r="Q330" s="3">
        <f>IF(G330="","",IF(F330="BUY",M330*Settings!$C$11,0))</f>
        <v/>
      </c>
      <c r="R330" s="3">
        <f>IF(G330="","",N330*Settings!$C$6)</f>
        <v/>
      </c>
      <c r="S330" s="3">
        <f>IF(G330="","",IF(AND(F330="SELL",E330="Equity Delivery"),Settings!$C$13,0))</f>
        <v/>
      </c>
      <c r="T330" s="3">
        <f>IF(G330="","",SUM(N330:S330))</f>
        <v/>
      </c>
      <c r="U330" s="3">
        <f>IF(G330="","",IF(F330="BUY",-(M330+T330),M330-T330))</f>
        <v/>
      </c>
      <c r="V330">
        <f>IF(G330="","",Settings!$C$4+SUM($U$2:U330))</f>
        <v/>
      </c>
    </row>
    <row r="331">
      <c r="A331">
        <f>IF(G331="","",ROW()-1)</f>
        <v/>
      </c>
      <c r="B331" s="8" t="n"/>
      <c r="G331" s="3" t="n"/>
      <c r="H331" s="3" t="n"/>
      <c r="I331" s="3" t="n"/>
      <c r="J331" s="3" t="n"/>
      <c r="K331" s="3" t="n"/>
      <c r="L331" s="3" t="n"/>
      <c r="M331" s="3">
        <f>IF(G331="","",G331*H331)</f>
        <v/>
      </c>
      <c r="N331" s="3">
        <f>IF(G331="","",Settings!$C$5)</f>
        <v/>
      </c>
      <c r="O331" s="3">
        <f>IF(G331="","",IF(F331="SELL",M331*IF(E331="Equity Intraday",Settings!$C$8,Settings!$C$7),0))</f>
        <v/>
      </c>
      <c r="P331" s="3">
        <f>IF(G331="","",M331*(Settings!$C$9+Settings!$C$10))</f>
        <v/>
      </c>
      <c r="Q331" s="3">
        <f>IF(G331="","",IF(F331="BUY",M331*Settings!$C$11,0))</f>
        <v/>
      </c>
      <c r="R331" s="3">
        <f>IF(G331="","",N331*Settings!$C$6)</f>
        <v/>
      </c>
      <c r="S331" s="3">
        <f>IF(G331="","",IF(AND(F331="SELL",E331="Equity Delivery"),Settings!$C$13,0))</f>
        <v/>
      </c>
      <c r="T331" s="3">
        <f>IF(G331="","",SUM(N331:S331))</f>
        <v/>
      </c>
      <c r="U331" s="3">
        <f>IF(G331="","",IF(F331="BUY",-(M331+T331),M331-T331))</f>
        <v/>
      </c>
      <c r="V331">
        <f>IF(G331="","",Settings!$C$4+SUM($U$2:U331))</f>
        <v/>
      </c>
    </row>
    <row r="332">
      <c r="A332">
        <f>IF(G332="","",ROW()-1)</f>
        <v/>
      </c>
      <c r="B332" s="8" t="n"/>
      <c r="G332" s="3" t="n"/>
      <c r="H332" s="3" t="n"/>
      <c r="I332" s="3" t="n"/>
      <c r="J332" s="3" t="n"/>
      <c r="K332" s="3" t="n"/>
      <c r="L332" s="3" t="n"/>
      <c r="M332" s="3">
        <f>IF(G332="","",G332*H332)</f>
        <v/>
      </c>
      <c r="N332" s="3">
        <f>IF(G332="","",Settings!$C$5)</f>
        <v/>
      </c>
      <c r="O332" s="3">
        <f>IF(G332="","",IF(F332="SELL",M332*IF(E332="Equity Intraday",Settings!$C$8,Settings!$C$7),0))</f>
        <v/>
      </c>
      <c r="P332" s="3">
        <f>IF(G332="","",M332*(Settings!$C$9+Settings!$C$10))</f>
        <v/>
      </c>
      <c r="Q332" s="3">
        <f>IF(G332="","",IF(F332="BUY",M332*Settings!$C$11,0))</f>
        <v/>
      </c>
      <c r="R332" s="3">
        <f>IF(G332="","",N332*Settings!$C$6)</f>
        <v/>
      </c>
      <c r="S332" s="3">
        <f>IF(G332="","",IF(AND(F332="SELL",E332="Equity Delivery"),Settings!$C$13,0))</f>
        <v/>
      </c>
      <c r="T332" s="3">
        <f>IF(G332="","",SUM(N332:S332))</f>
        <v/>
      </c>
      <c r="U332" s="3">
        <f>IF(G332="","",IF(F332="BUY",-(M332+T332),M332-T332))</f>
        <v/>
      </c>
      <c r="V332">
        <f>IF(G332="","",Settings!$C$4+SUM($U$2:U332))</f>
        <v/>
      </c>
    </row>
    <row r="333">
      <c r="A333">
        <f>IF(G333="","",ROW()-1)</f>
        <v/>
      </c>
      <c r="B333" s="8" t="n"/>
      <c r="G333" s="3" t="n"/>
      <c r="H333" s="3" t="n"/>
      <c r="I333" s="3" t="n"/>
      <c r="J333" s="3" t="n"/>
      <c r="K333" s="3" t="n"/>
      <c r="L333" s="3" t="n"/>
      <c r="M333" s="3">
        <f>IF(G333="","",G333*H333)</f>
        <v/>
      </c>
      <c r="N333" s="3">
        <f>IF(G333="","",Settings!$C$5)</f>
        <v/>
      </c>
      <c r="O333" s="3">
        <f>IF(G333="","",IF(F333="SELL",M333*IF(E333="Equity Intraday",Settings!$C$8,Settings!$C$7),0))</f>
        <v/>
      </c>
      <c r="P333" s="3">
        <f>IF(G333="","",M333*(Settings!$C$9+Settings!$C$10))</f>
        <v/>
      </c>
      <c r="Q333" s="3">
        <f>IF(G333="","",IF(F333="BUY",M333*Settings!$C$11,0))</f>
        <v/>
      </c>
      <c r="R333" s="3">
        <f>IF(G333="","",N333*Settings!$C$6)</f>
        <v/>
      </c>
      <c r="S333" s="3">
        <f>IF(G333="","",IF(AND(F333="SELL",E333="Equity Delivery"),Settings!$C$13,0))</f>
        <v/>
      </c>
      <c r="T333" s="3">
        <f>IF(G333="","",SUM(N333:S333))</f>
        <v/>
      </c>
      <c r="U333" s="3">
        <f>IF(G333="","",IF(F333="BUY",-(M333+T333),M333-T333))</f>
        <v/>
      </c>
      <c r="V333">
        <f>IF(G333="","",Settings!$C$4+SUM($U$2:U333))</f>
        <v/>
      </c>
    </row>
    <row r="334">
      <c r="A334">
        <f>IF(G334="","",ROW()-1)</f>
        <v/>
      </c>
      <c r="B334" s="8" t="n"/>
      <c r="G334" s="3" t="n"/>
      <c r="H334" s="3" t="n"/>
      <c r="I334" s="3" t="n"/>
      <c r="J334" s="3" t="n"/>
      <c r="K334" s="3" t="n"/>
      <c r="L334" s="3" t="n"/>
      <c r="M334" s="3">
        <f>IF(G334="","",G334*H334)</f>
        <v/>
      </c>
      <c r="N334" s="3">
        <f>IF(G334="","",Settings!$C$5)</f>
        <v/>
      </c>
      <c r="O334" s="3">
        <f>IF(G334="","",IF(F334="SELL",M334*IF(E334="Equity Intraday",Settings!$C$8,Settings!$C$7),0))</f>
        <v/>
      </c>
      <c r="P334" s="3">
        <f>IF(G334="","",M334*(Settings!$C$9+Settings!$C$10))</f>
        <v/>
      </c>
      <c r="Q334" s="3">
        <f>IF(G334="","",IF(F334="BUY",M334*Settings!$C$11,0))</f>
        <v/>
      </c>
      <c r="R334" s="3">
        <f>IF(G334="","",N334*Settings!$C$6)</f>
        <v/>
      </c>
      <c r="S334" s="3">
        <f>IF(G334="","",IF(AND(F334="SELL",E334="Equity Delivery"),Settings!$C$13,0))</f>
        <v/>
      </c>
      <c r="T334" s="3">
        <f>IF(G334="","",SUM(N334:S334))</f>
        <v/>
      </c>
      <c r="U334" s="3">
        <f>IF(G334="","",IF(F334="BUY",-(M334+T334),M334-T334))</f>
        <v/>
      </c>
      <c r="V334">
        <f>IF(G334="","",Settings!$C$4+SUM($U$2:U334))</f>
        <v/>
      </c>
    </row>
    <row r="335">
      <c r="A335">
        <f>IF(G335="","",ROW()-1)</f>
        <v/>
      </c>
      <c r="B335" s="8" t="n"/>
      <c r="G335" s="3" t="n"/>
      <c r="H335" s="3" t="n"/>
      <c r="I335" s="3" t="n"/>
      <c r="J335" s="3" t="n"/>
      <c r="K335" s="3" t="n"/>
      <c r="L335" s="3" t="n"/>
      <c r="M335" s="3">
        <f>IF(G335="","",G335*H335)</f>
        <v/>
      </c>
      <c r="N335" s="3">
        <f>IF(G335="","",Settings!$C$5)</f>
        <v/>
      </c>
      <c r="O335" s="3">
        <f>IF(G335="","",IF(F335="SELL",M335*IF(E335="Equity Intraday",Settings!$C$8,Settings!$C$7),0))</f>
        <v/>
      </c>
      <c r="P335" s="3">
        <f>IF(G335="","",M335*(Settings!$C$9+Settings!$C$10))</f>
        <v/>
      </c>
      <c r="Q335" s="3">
        <f>IF(G335="","",IF(F335="BUY",M335*Settings!$C$11,0))</f>
        <v/>
      </c>
      <c r="R335" s="3">
        <f>IF(G335="","",N335*Settings!$C$6)</f>
        <v/>
      </c>
      <c r="S335" s="3">
        <f>IF(G335="","",IF(AND(F335="SELL",E335="Equity Delivery"),Settings!$C$13,0))</f>
        <v/>
      </c>
      <c r="T335" s="3">
        <f>IF(G335="","",SUM(N335:S335))</f>
        <v/>
      </c>
      <c r="U335" s="3">
        <f>IF(G335="","",IF(F335="BUY",-(M335+T335),M335-T335))</f>
        <v/>
      </c>
      <c r="V335">
        <f>IF(G335="","",Settings!$C$4+SUM($U$2:U335))</f>
        <v/>
      </c>
    </row>
    <row r="336">
      <c r="A336">
        <f>IF(G336="","",ROW()-1)</f>
        <v/>
      </c>
      <c r="B336" s="8" t="n"/>
      <c r="G336" s="3" t="n"/>
      <c r="H336" s="3" t="n"/>
      <c r="I336" s="3" t="n"/>
      <c r="J336" s="3" t="n"/>
      <c r="K336" s="3" t="n"/>
      <c r="L336" s="3" t="n"/>
      <c r="M336" s="3">
        <f>IF(G336="","",G336*H336)</f>
        <v/>
      </c>
      <c r="N336" s="3">
        <f>IF(G336="","",Settings!$C$5)</f>
        <v/>
      </c>
      <c r="O336" s="3">
        <f>IF(G336="","",IF(F336="SELL",M336*IF(E336="Equity Intraday",Settings!$C$8,Settings!$C$7),0))</f>
        <v/>
      </c>
      <c r="P336" s="3">
        <f>IF(G336="","",M336*(Settings!$C$9+Settings!$C$10))</f>
        <v/>
      </c>
      <c r="Q336" s="3">
        <f>IF(G336="","",IF(F336="BUY",M336*Settings!$C$11,0))</f>
        <v/>
      </c>
      <c r="R336" s="3">
        <f>IF(G336="","",N336*Settings!$C$6)</f>
        <v/>
      </c>
      <c r="S336" s="3">
        <f>IF(G336="","",IF(AND(F336="SELL",E336="Equity Delivery"),Settings!$C$13,0))</f>
        <v/>
      </c>
      <c r="T336" s="3">
        <f>IF(G336="","",SUM(N336:S336))</f>
        <v/>
      </c>
      <c r="U336" s="3">
        <f>IF(G336="","",IF(F336="BUY",-(M336+T336),M336-T336))</f>
        <v/>
      </c>
      <c r="V336">
        <f>IF(G336="","",Settings!$C$4+SUM($U$2:U336))</f>
        <v/>
      </c>
    </row>
    <row r="337">
      <c r="A337">
        <f>IF(G337="","",ROW()-1)</f>
        <v/>
      </c>
      <c r="B337" s="8" t="n"/>
      <c r="G337" s="3" t="n"/>
      <c r="H337" s="3" t="n"/>
      <c r="I337" s="3" t="n"/>
      <c r="J337" s="3" t="n"/>
      <c r="K337" s="3" t="n"/>
      <c r="L337" s="3" t="n"/>
      <c r="M337" s="3">
        <f>IF(G337="","",G337*H337)</f>
        <v/>
      </c>
      <c r="N337" s="3">
        <f>IF(G337="","",Settings!$C$5)</f>
        <v/>
      </c>
      <c r="O337" s="3">
        <f>IF(G337="","",IF(F337="SELL",M337*IF(E337="Equity Intraday",Settings!$C$8,Settings!$C$7),0))</f>
        <v/>
      </c>
      <c r="P337" s="3">
        <f>IF(G337="","",M337*(Settings!$C$9+Settings!$C$10))</f>
        <v/>
      </c>
      <c r="Q337" s="3">
        <f>IF(G337="","",IF(F337="BUY",M337*Settings!$C$11,0))</f>
        <v/>
      </c>
      <c r="R337" s="3">
        <f>IF(G337="","",N337*Settings!$C$6)</f>
        <v/>
      </c>
      <c r="S337" s="3">
        <f>IF(G337="","",IF(AND(F337="SELL",E337="Equity Delivery"),Settings!$C$13,0))</f>
        <v/>
      </c>
      <c r="T337" s="3">
        <f>IF(G337="","",SUM(N337:S337))</f>
        <v/>
      </c>
      <c r="U337" s="3">
        <f>IF(G337="","",IF(F337="BUY",-(M337+T337),M337-T337))</f>
        <v/>
      </c>
      <c r="V337">
        <f>IF(G337="","",Settings!$C$4+SUM($U$2:U337))</f>
        <v/>
      </c>
    </row>
    <row r="338">
      <c r="A338">
        <f>IF(G338="","",ROW()-1)</f>
        <v/>
      </c>
      <c r="B338" s="8" t="n"/>
      <c r="G338" s="3" t="n"/>
      <c r="H338" s="3" t="n"/>
      <c r="I338" s="3" t="n"/>
      <c r="J338" s="3" t="n"/>
      <c r="K338" s="3" t="n"/>
      <c r="L338" s="3" t="n"/>
      <c r="M338" s="3">
        <f>IF(G338="","",G338*H338)</f>
        <v/>
      </c>
      <c r="N338" s="3">
        <f>IF(G338="","",Settings!$C$5)</f>
        <v/>
      </c>
      <c r="O338" s="3">
        <f>IF(G338="","",IF(F338="SELL",M338*IF(E338="Equity Intraday",Settings!$C$8,Settings!$C$7),0))</f>
        <v/>
      </c>
      <c r="P338" s="3">
        <f>IF(G338="","",M338*(Settings!$C$9+Settings!$C$10))</f>
        <v/>
      </c>
      <c r="Q338" s="3">
        <f>IF(G338="","",IF(F338="BUY",M338*Settings!$C$11,0))</f>
        <v/>
      </c>
      <c r="R338" s="3">
        <f>IF(G338="","",N338*Settings!$C$6)</f>
        <v/>
      </c>
      <c r="S338" s="3">
        <f>IF(G338="","",IF(AND(F338="SELL",E338="Equity Delivery"),Settings!$C$13,0))</f>
        <v/>
      </c>
      <c r="T338" s="3">
        <f>IF(G338="","",SUM(N338:S338))</f>
        <v/>
      </c>
      <c r="U338" s="3">
        <f>IF(G338="","",IF(F338="BUY",-(M338+T338),M338-T338))</f>
        <v/>
      </c>
      <c r="V338">
        <f>IF(G338="","",Settings!$C$4+SUM($U$2:U338))</f>
        <v/>
      </c>
    </row>
    <row r="339">
      <c r="A339">
        <f>IF(G339="","",ROW()-1)</f>
        <v/>
      </c>
      <c r="B339" s="8" t="n"/>
      <c r="G339" s="3" t="n"/>
      <c r="H339" s="3" t="n"/>
      <c r="I339" s="3" t="n"/>
      <c r="J339" s="3" t="n"/>
      <c r="K339" s="3" t="n"/>
      <c r="L339" s="3" t="n"/>
      <c r="M339" s="3">
        <f>IF(G339="","",G339*H339)</f>
        <v/>
      </c>
      <c r="N339" s="3">
        <f>IF(G339="","",Settings!$C$5)</f>
        <v/>
      </c>
      <c r="O339" s="3">
        <f>IF(G339="","",IF(F339="SELL",M339*IF(E339="Equity Intraday",Settings!$C$8,Settings!$C$7),0))</f>
        <v/>
      </c>
      <c r="P339" s="3">
        <f>IF(G339="","",M339*(Settings!$C$9+Settings!$C$10))</f>
        <v/>
      </c>
      <c r="Q339" s="3">
        <f>IF(G339="","",IF(F339="BUY",M339*Settings!$C$11,0))</f>
        <v/>
      </c>
      <c r="R339" s="3">
        <f>IF(G339="","",N339*Settings!$C$6)</f>
        <v/>
      </c>
      <c r="S339" s="3">
        <f>IF(G339="","",IF(AND(F339="SELL",E339="Equity Delivery"),Settings!$C$13,0))</f>
        <v/>
      </c>
      <c r="T339" s="3">
        <f>IF(G339="","",SUM(N339:S339))</f>
        <v/>
      </c>
      <c r="U339" s="3">
        <f>IF(G339="","",IF(F339="BUY",-(M339+T339),M339-T339))</f>
        <v/>
      </c>
      <c r="V339">
        <f>IF(G339="","",Settings!$C$4+SUM($U$2:U339))</f>
        <v/>
      </c>
    </row>
    <row r="340">
      <c r="A340">
        <f>IF(G340="","",ROW()-1)</f>
        <v/>
      </c>
      <c r="B340" s="8" t="n"/>
      <c r="G340" s="3" t="n"/>
      <c r="H340" s="3" t="n"/>
      <c r="I340" s="3" t="n"/>
      <c r="J340" s="3" t="n"/>
      <c r="K340" s="3" t="n"/>
      <c r="L340" s="3" t="n"/>
      <c r="M340" s="3">
        <f>IF(G340="","",G340*H340)</f>
        <v/>
      </c>
      <c r="N340" s="3">
        <f>IF(G340="","",Settings!$C$5)</f>
        <v/>
      </c>
      <c r="O340" s="3">
        <f>IF(G340="","",IF(F340="SELL",M340*IF(E340="Equity Intraday",Settings!$C$8,Settings!$C$7),0))</f>
        <v/>
      </c>
      <c r="P340" s="3">
        <f>IF(G340="","",M340*(Settings!$C$9+Settings!$C$10))</f>
        <v/>
      </c>
      <c r="Q340" s="3">
        <f>IF(G340="","",IF(F340="BUY",M340*Settings!$C$11,0))</f>
        <v/>
      </c>
      <c r="R340" s="3">
        <f>IF(G340="","",N340*Settings!$C$6)</f>
        <v/>
      </c>
      <c r="S340" s="3">
        <f>IF(G340="","",IF(AND(F340="SELL",E340="Equity Delivery"),Settings!$C$13,0))</f>
        <v/>
      </c>
      <c r="T340" s="3">
        <f>IF(G340="","",SUM(N340:S340))</f>
        <v/>
      </c>
      <c r="U340" s="3">
        <f>IF(G340="","",IF(F340="BUY",-(M340+T340),M340-T340))</f>
        <v/>
      </c>
      <c r="V340">
        <f>IF(G340="","",Settings!$C$4+SUM($U$2:U340))</f>
        <v/>
      </c>
    </row>
    <row r="341">
      <c r="A341">
        <f>IF(G341="","",ROW()-1)</f>
        <v/>
      </c>
      <c r="B341" s="8" t="n"/>
      <c r="G341" s="3" t="n"/>
      <c r="H341" s="3" t="n"/>
      <c r="I341" s="3" t="n"/>
      <c r="J341" s="3" t="n"/>
      <c r="K341" s="3" t="n"/>
      <c r="L341" s="3" t="n"/>
      <c r="M341" s="3">
        <f>IF(G341="","",G341*H341)</f>
        <v/>
      </c>
      <c r="N341" s="3">
        <f>IF(G341="","",Settings!$C$5)</f>
        <v/>
      </c>
      <c r="O341" s="3">
        <f>IF(G341="","",IF(F341="SELL",M341*IF(E341="Equity Intraday",Settings!$C$8,Settings!$C$7),0))</f>
        <v/>
      </c>
      <c r="P341" s="3">
        <f>IF(G341="","",M341*(Settings!$C$9+Settings!$C$10))</f>
        <v/>
      </c>
      <c r="Q341" s="3">
        <f>IF(G341="","",IF(F341="BUY",M341*Settings!$C$11,0))</f>
        <v/>
      </c>
      <c r="R341" s="3">
        <f>IF(G341="","",N341*Settings!$C$6)</f>
        <v/>
      </c>
      <c r="S341" s="3">
        <f>IF(G341="","",IF(AND(F341="SELL",E341="Equity Delivery"),Settings!$C$13,0))</f>
        <v/>
      </c>
      <c r="T341" s="3">
        <f>IF(G341="","",SUM(N341:S341))</f>
        <v/>
      </c>
      <c r="U341" s="3">
        <f>IF(G341="","",IF(F341="BUY",-(M341+T341),M341-T341))</f>
        <v/>
      </c>
      <c r="V341">
        <f>IF(G341="","",Settings!$C$4+SUM($U$2:U341))</f>
        <v/>
      </c>
    </row>
    <row r="342">
      <c r="A342">
        <f>IF(G342="","",ROW()-1)</f>
        <v/>
      </c>
      <c r="B342" s="8" t="n"/>
      <c r="G342" s="3" t="n"/>
      <c r="H342" s="3" t="n"/>
      <c r="I342" s="3" t="n"/>
      <c r="J342" s="3" t="n"/>
      <c r="K342" s="3" t="n"/>
      <c r="L342" s="3" t="n"/>
      <c r="M342" s="3">
        <f>IF(G342="","",G342*H342)</f>
        <v/>
      </c>
      <c r="N342" s="3">
        <f>IF(G342="","",Settings!$C$5)</f>
        <v/>
      </c>
      <c r="O342" s="3">
        <f>IF(G342="","",IF(F342="SELL",M342*IF(E342="Equity Intraday",Settings!$C$8,Settings!$C$7),0))</f>
        <v/>
      </c>
      <c r="P342" s="3">
        <f>IF(G342="","",M342*(Settings!$C$9+Settings!$C$10))</f>
        <v/>
      </c>
      <c r="Q342" s="3">
        <f>IF(G342="","",IF(F342="BUY",M342*Settings!$C$11,0))</f>
        <v/>
      </c>
      <c r="R342" s="3">
        <f>IF(G342="","",N342*Settings!$C$6)</f>
        <v/>
      </c>
      <c r="S342" s="3">
        <f>IF(G342="","",IF(AND(F342="SELL",E342="Equity Delivery"),Settings!$C$13,0))</f>
        <v/>
      </c>
      <c r="T342" s="3">
        <f>IF(G342="","",SUM(N342:S342))</f>
        <v/>
      </c>
      <c r="U342" s="3">
        <f>IF(G342="","",IF(F342="BUY",-(M342+T342),M342-T342))</f>
        <v/>
      </c>
      <c r="V342">
        <f>IF(G342="","",Settings!$C$4+SUM($U$2:U342))</f>
        <v/>
      </c>
    </row>
    <row r="343">
      <c r="A343">
        <f>IF(G343="","",ROW()-1)</f>
        <v/>
      </c>
      <c r="B343" s="8" t="n"/>
      <c r="G343" s="3" t="n"/>
      <c r="H343" s="3" t="n"/>
      <c r="I343" s="3" t="n"/>
      <c r="J343" s="3" t="n"/>
      <c r="K343" s="3" t="n"/>
      <c r="L343" s="3" t="n"/>
      <c r="M343" s="3">
        <f>IF(G343="","",G343*H343)</f>
        <v/>
      </c>
      <c r="N343" s="3">
        <f>IF(G343="","",Settings!$C$5)</f>
        <v/>
      </c>
      <c r="O343" s="3">
        <f>IF(G343="","",IF(F343="SELL",M343*IF(E343="Equity Intraday",Settings!$C$8,Settings!$C$7),0))</f>
        <v/>
      </c>
      <c r="P343" s="3">
        <f>IF(G343="","",M343*(Settings!$C$9+Settings!$C$10))</f>
        <v/>
      </c>
      <c r="Q343" s="3">
        <f>IF(G343="","",IF(F343="BUY",M343*Settings!$C$11,0))</f>
        <v/>
      </c>
      <c r="R343" s="3">
        <f>IF(G343="","",N343*Settings!$C$6)</f>
        <v/>
      </c>
      <c r="S343" s="3">
        <f>IF(G343="","",IF(AND(F343="SELL",E343="Equity Delivery"),Settings!$C$13,0))</f>
        <v/>
      </c>
      <c r="T343" s="3">
        <f>IF(G343="","",SUM(N343:S343))</f>
        <v/>
      </c>
      <c r="U343" s="3">
        <f>IF(G343="","",IF(F343="BUY",-(M343+T343),M343-T343))</f>
        <v/>
      </c>
      <c r="V343">
        <f>IF(G343="","",Settings!$C$4+SUM($U$2:U343))</f>
        <v/>
      </c>
    </row>
    <row r="344">
      <c r="A344">
        <f>IF(G344="","",ROW()-1)</f>
        <v/>
      </c>
      <c r="B344" s="8" t="n"/>
      <c r="G344" s="3" t="n"/>
      <c r="H344" s="3" t="n"/>
      <c r="I344" s="3" t="n"/>
      <c r="J344" s="3" t="n"/>
      <c r="K344" s="3" t="n"/>
      <c r="L344" s="3" t="n"/>
      <c r="M344" s="3">
        <f>IF(G344="","",G344*H344)</f>
        <v/>
      </c>
      <c r="N344" s="3">
        <f>IF(G344="","",Settings!$C$5)</f>
        <v/>
      </c>
      <c r="O344" s="3">
        <f>IF(G344="","",IF(F344="SELL",M344*IF(E344="Equity Intraday",Settings!$C$8,Settings!$C$7),0))</f>
        <v/>
      </c>
      <c r="P344" s="3">
        <f>IF(G344="","",M344*(Settings!$C$9+Settings!$C$10))</f>
        <v/>
      </c>
      <c r="Q344" s="3">
        <f>IF(G344="","",IF(F344="BUY",M344*Settings!$C$11,0))</f>
        <v/>
      </c>
      <c r="R344" s="3">
        <f>IF(G344="","",N344*Settings!$C$6)</f>
        <v/>
      </c>
      <c r="S344" s="3">
        <f>IF(G344="","",IF(AND(F344="SELL",E344="Equity Delivery"),Settings!$C$13,0))</f>
        <v/>
      </c>
      <c r="T344" s="3">
        <f>IF(G344="","",SUM(N344:S344))</f>
        <v/>
      </c>
      <c r="U344" s="3">
        <f>IF(G344="","",IF(F344="BUY",-(M344+T344),M344-T344))</f>
        <v/>
      </c>
      <c r="V344">
        <f>IF(G344="","",Settings!$C$4+SUM($U$2:U344))</f>
        <v/>
      </c>
    </row>
    <row r="345">
      <c r="A345">
        <f>IF(G345="","",ROW()-1)</f>
        <v/>
      </c>
      <c r="B345" s="8" t="n"/>
      <c r="G345" s="3" t="n"/>
      <c r="H345" s="3" t="n"/>
      <c r="I345" s="3" t="n"/>
      <c r="J345" s="3" t="n"/>
      <c r="K345" s="3" t="n"/>
      <c r="L345" s="3" t="n"/>
      <c r="M345" s="3">
        <f>IF(G345="","",G345*H345)</f>
        <v/>
      </c>
      <c r="N345" s="3">
        <f>IF(G345="","",Settings!$C$5)</f>
        <v/>
      </c>
      <c r="O345" s="3">
        <f>IF(G345="","",IF(F345="SELL",M345*IF(E345="Equity Intraday",Settings!$C$8,Settings!$C$7),0))</f>
        <v/>
      </c>
      <c r="P345" s="3">
        <f>IF(G345="","",M345*(Settings!$C$9+Settings!$C$10))</f>
        <v/>
      </c>
      <c r="Q345" s="3">
        <f>IF(G345="","",IF(F345="BUY",M345*Settings!$C$11,0))</f>
        <v/>
      </c>
      <c r="R345" s="3">
        <f>IF(G345="","",N345*Settings!$C$6)</f>
        <v/>
      </c>
      <c r="S345" s="3">
        <f>IF(G345="","",IF(AND(F345="SELL",E345="Equity Delivery"),Settings!$C$13,0))</f>
        <v/>
      </c>
      <c r="T345" s="3">
        <f>IF(G345="","",SUM(N345:S345))</f>
        <v/>
      </c>
      <c r="U345" s="3">
        <f>IF(G345="","",IF(F345="BUY",-(M345+T345),M345-T345))</f>
        <v/>
      </c>
      <c r="V345">
        <f>IF(G345="","",Settings!$C$4+SUM($U$2:U345))</f>
        <v/>
      </c>
    </row>
    <row r="346">
      <c r="A346">
        <f>IF(G346="","",ROW()-1)</f>
        <v/>
      </c>
      <c r="B346" s="8" t="n"/>
      <c r="G346" s="3" t="n"/>
      <c r="H346" s="3" t="n"/>
      <c r="I346" s="3" t="n"/>
      <c r="J346" s="3" t="n"/>
      <c r="K346" s="3" t="n"/>
      <c r="L346" s="3" t="n"/>
      <c r="M346" s="3">
        <f>IF(G346="","",G346*H346)</f>
        <v/>
      </c>
      <c r="N346" s="3">
        <f>IF(G346="","",Settings!$C$5)</f>
        <v/>
      </c>
      <c r="O346" s="3">
        <f>IF(G346="","",IF(F346="SELL",M346*IF(E346="Equity Intraday",Settings!$C$8,Settings!$C$7),0))</f>
        <v/>
      </c>
      <c r="P346" s="3">
        <f>IF(G346="","",M346*(Settings!$C$9+Settings!$C$10))</f>
        <v/>
      </c>
      <c r="Q346" s="3">
        <f>IF(G346="","",IF(F346="BUY",M346*Settings!$C$11,0))</f>
        <v/>
      </c>
      <c r="R346" s="3">
        <f>IF(G346="","",N346*Settings!$C$6)</f>
        <v/>
      </c>
      <c r="S346" s="3">
        <f>IF(G346="","",IF(AND(F346="SELL",E346="Equity Delivery"),Settings!$C$13,0))</f>
        <v/>
      </c>
      <c r="T346" s="3">
        <f>IF(G346="","",SUM(N346:S346))</f>
        <v/>
      </c>
      <c r="U346" s="3">
        <f>IF(G346="","",IF(F346="BUY",-(M346+T346),M346-T346))</f>
        <v/>
      </c>
      <c r="V346">
        <f>IF(G346="","",Settings!$C$4+SUM($U$2:U346))</f>
        <v/>
      </c>
    </row>
    <row r="347">
      <c r="A347">
        <f>IF(G347="","",ROW()-1)</f>
        <v/>
      </c>
      <c r="B347" s="8" t="n"/>
      <c r="G347" s="3" t="n"/>
      <c r="H347" s="3" t="n"/>
      <c r="I347" s="3" t="n"/>
      <c r="J347" s="3" t="n"/>
      <c r="K347" s="3" t="n"/>
      <c r="L347" s="3" t="n"/>
      <c r="M347" s="3">
        <f>IF(G347="","",G347*H347)</f>
        <v/>
      </c>
      <c r="N347" s="3">
        <f>IF(G347="","",Settings!$C$5)</f>
        <v/>
      </c>
      <c r="O347" s="3">
        <f>IF(G347="","",IF(F347="SELL",M347*IF(E347="Equity Intraday",Settings!$C$8,Settings!$C$7),0))</f>
        <v/>
      </c>
      <c r="P347" s="3">
        <f>IF(G347="","",M347*(Settings!$C$9+Settings!$C$10))</f>
        <v/>
      </c>
      <c r="Q347" s="3">
        <f>IF(G347="","",IF(F347="BUY",M347*Settings!$C$11,0))</f>
        <v/>
      </c>
      <c r="R347" s="3">
        <f>IF(G347="","",N347*Settings!$C$6)</f>
        <v/>
      </c>
      <c r="S347" s="3">
        <f>IF(G347="","",IF(AND(F347="SELL",E347="Equity Delivery"),Settings!$C$13,0))</f>
        <v/>
      </c>
      <c r="T347" s="3">
        <f>IF(G347="","",SUM(N347:S347))</f>
        <v/>
      </c>
      <c r="U347" s="3">
        <f>IF(G347="","",IF(F347="BUY",-(M347+T347),M347-T347))</f>
        <v/>
      </c>
      <c r="V347">
        <f>IF(G347="","",Settings!$C$4+SUM($U$2:U347))</f>
        <v/>
      </c>
    </row>
    <row r="348">
      <c r="A348">
        <f>IF(G348="","",ROW()-1)</f>
        <v/>
      </c>
      <c r="B348" s="8" t="n"/>
      <c r="G348" s="3" t="n"/>
      <c r="H348" s="3" t="n"/>
      <c r="I348" s="3" t="n"/>
      <c r="J348" s="3" t="n"/>
      <c r="K348" s="3" t="n"/>
      <c r="L348" s="3" t="n"/>
      <c r="M348" s="3">
        <f>IF(G348="","",G348*H348)</f>
        <v/>
      </c>
      <c r="N348" s="3">
        <f>IF(G348="","",Settings!$C$5)</f>
        <v/>
      </c>
      <c r="O348" s="3">
        <f>IF(G348="","",IF(F348="SELL",M348*IF(E348="Equity Intraday",Settings!$C$8,Settings!$C$7),0))</f>
        <v/>
      </c>
      <c r="P348" s="3">
        <f>IF(G348="","",M348*(Settings!$C$9+Settings!$C$10))</f>
        <v/>
      </c>
      <c r="Q348" s="3">
        <f>IF(G348="","",IF(F348="BUY",M348*Settings!$C$11,0))</f>
        <v/>
      </c>
      <c r="R348" s="3">
        <f>IF(G348="","",N348*Settings!$C$6)</f>
        <v/>
      </c>
      <c r="S348" s="3">
        <f>IF(G348="","",IF(AND(F348="SELL",E348="Equity Delivery"),Settings!$C$13,0))</f>
        <v/>
      </c>
      <c r="T348" s="3">
        <f>IF(G348="","",SUM(N348:S348))</f>
        <v/>
      </c>
      <c r="U348" s="3">
        <f>IF(G348="","",IF(F348="BUY",-(M348+T348),M348-T348))</f>
        <v/>
      </c>
      <c r="V348">
        <f>IF(G348="","",Settings!$C$4+SUM($U$2:U348))</f>
        <v/>
      </c>
    </row>
    <row r="349">
      <c r="A349">
        <f>IF(G349="","",ROW()-1)</f>
        <v/>
      </c>
      <c r="B349" s="8" t="n"/>
      <c r="G349" s="3" t="n"/>
      <c r="H349" s="3" t="n"/>
      <c r="I349" s="3" t="n"/>
      <c r="J349" s="3" t="n"/>
      <c r="K349" s="3" t="n"/>
      <c r="L349" s="3" t="n"/>
      <c r="M349" s="3">
        <f>IF(G349="","",G349*H349)</f>
        <v/>
      </c>
      <c r="N349" s="3">
        <f>IF(G349="","",Settings!$C$5)</f>
        <v/>
      </c>
      <c r="O349" s="3">
        <f>IF(G349="","",IF(F349="SELL",M349*IF(E349="Equity Intraday",Settings!$C$8,Settings!$C$7),0))</f>
        <v/>
      </c>
      <c r="P349" s="3">
        <f>IF(G349="","",M349*(Settings!$C$9+Settings!$C$10))</f>
        <v/>
      </c>
      <c r="Q349" s="3">
        <f>IF(G349="","",IF(F349="BUY",M349*Settings!$C$11,0))</f>
        <v/>
      </c>
      <c r="R349" s="3">
        <f>IF(G349="","",N349*Settings!$C$6)</f>
        <v/>
      </c>
      <c r="S349" s="3">
        <f>IF(G349="","",IF(AND(F349="SELL",E349="Equity Delivery"),Settings!$C$13,0))</f>
        <v/>
      </c>
      <c r="T349" s="3">
        <f>IF(G349="","",SUM(N349:S349))</f>
        <v/>
      </c>
      <c r="U349" s="3">
        <f>IF(G349="","",IF(F349="BUY",-(M349+T349),M349-T349))</f>
        <v/>
      </c>
      <c r="V349">
        <f>IF(G349="","",Settings!$C$4+SUM($U$2:U349))</f>
        <v/>
      </c>
    </row>
    <row r="350">
      <c r="A350">
        <f>IF(G350="","",ROW()-1)</f>
        <v/>
      </c>
      <c r="B350" s="8" t="n"/>
      <c r="G350" s="3" t="n"/>
      <c r="H350" s="3" t="n"/>
      <c r="I350" s="3" t="n"/>
      <c r="J350" s="3" t="n"/>
      <c r="K350" s="3" t="n"/>
      <c r="L350" s="3" t="n"/>
      <c r="M350" s="3">
        <f>IF(G350="","",G350*H350)</f>
        <v/>
      </c>
      <c r="N350" s="3">
        <f>IF(G350="","",Settings!$C$5)</f>
        <v/>
      </c>
      <c r="O350" s="3">
        <f>IF(G350="","",IF(F350="SELL",M350*IF(E350="Equity Intraday",Settings!$C$8,Settings!$C$7),0))</f>
        <v/>
      </c>
      <c r="P350" s="3">
        <f>IF(G350="","",M350*(Settings!$C$9+Settings!$C$10))</f>
        <v/>
      </c>
      <c r="Q350" s="3">
        <f>IF(G350="","",IF(F350="BUY",M350*Settings!$C$11,0))</f>
        <v/>
      </c>
      <c r="R350" s="3">
        <f>IF(G350="","",N350*Settings!$C$6)</f>
        <v/>
      </c>
      <c r="S350" s="3">
        <f>IF(G350="","",IF(AND(F350="SELL",E350="Equity Delivery"),Settings!$C$13,0))</f>
        <v/>
      </c>
      <c r="T350" s="3">
        <f>IF(G350="","",SUM(N350:S350))</f>
        <v/>
      </c>
      <c r="U350" s="3">
        <f>IF(G350="","",IF(F350="BUY",-(M350+T350),M350-T350))</f>
        <v/>
      </c>
      <c r="V350">
        <f>IF(G350="","",Settings!$C$4+SUM($U$2:U350))</f>
        <v/>
      </c>
    </row>
    <row r="351">
      <c r="A351">
        <f>IF(G351="","",ROW()-1)</f>
        <v/>
      </c>
      <c r="B351" s="8" t="n"/>
      <c r="G351" s="3" t="n"/>
      <c r="H351" s="3" t="n"/>
      <c r="I351" s="3" t="n"/>
      <c r="J351" s="3" t="n"/>
      <c r="K351" s="3" t="n"/>
      <c r="L351" s="3" t="n"/>
      <c r="M351" s="3">
        <f>IF(G351="","",G351*H351)</f>
        <v/>
      </c>
      <c r="N351" s="3">
        <f>IF(G351="","",Settings!$C$5)</f>
        <v/>
      </c>
      <c r="O351" s="3">
        <f>IF(G351="","",IF(F351="SELL",M351*IF(E351="Equity Intraday",Settings!$C$8,Settings!$C$7),0))</f>
        <v/>
      </c>
      <c r="P351" s="3">
        <f>IF(G351="","",M351*(Settings!$C$9+Settings!$C$10))</f>
        <v/>
      </c>
      <c r="Q351" s="3">
        <f>IF(G351="","",IF(F351="BUY",M351*Settings!$C$11,0))</f>
        <v/>
      </c>
      <c r="R351" s="3">
        <f>IF(G351="","",N351*Settings!$C$6)</f>
        <v/>
      </c>
      <c r="S351" s="3">
        <f>IF(G351="","",IF(AND(F351="SELL",E351="Equity Delivery"),Settings!$C$13,0))</f>
        <v/>
      </c>
      <c r="T351" s="3">
        <f>IF(G351="","",SUM(N351:S351))</f>
        <v/>
      </c>
      <c r="U351" s="3">
        <f>IF(G351="","",IF(F351="BUY",-(M351+T351),M351-T351))</f>
        <v/>
      </c>
      <c r="V351">
        <f>IF(G351="","",Settings!$C$4+SUM($U$2:U351))</f>
        <v/>
      </c>
    </row>
    <row r="352">
      <c r="A352">
        <f>IF(G352="","",ROW()-1)</f>
        <v/>
      </c>
      <c r="B352" s="8" t="n"/>
      <c r="G352" s="3" t="n"/>
      <c r="H352" s="3" t="n"/>
      <c r="I352" s="3" t="n"/>
      <c r="J352" s="3" t="n"/>
      <c r="K352" s="3" t="n"/>
      <c r="L352" s="3" t="n"/>
      <c r="M352" s="3">
        <f>IF(G352="","",G352*H352)</f>
        <v/>
      </c>
      <c r="N352" s="3">
        <f>IF(G352="","",Settings!$C$5)</f>
        <v/>
      </c>
      <c r="O352" s="3">
        <f>IF(G352="","",IF(F352="SELL",M352*IF(E352="Equity Intraday",Settings!$C$8,Settings!$C$7),0))</f>
        <v/>
      </c>
      <c r="P352" s="3">
        <f>IF(G352="","",M352*(Settings!$C$9+Settings!$C$10))</f>
        <v/>
      </c>
      <c r="Q352" s="3">
        <f>IF(G352="","",IF(F352="BUY",M352*Settings!$C$11,0))</f>
        <v/>
      </c>
      <c r="R352" s="3">
        <f>IF(G352="","",N352*Settings!$C$6)</f>
        <v/>
      </c>
      <c r="S352" s="3">
        <f>IF(G352="","",IF(AND(F352="SELL",E352="Equity Delivery"),Settings!$C$13,0))</f>
        <v/>
      </c>
      <c r="T352" s="3">
        <f>IF(G352="","",SUM(N352:S352))</f>
        <v/>
      </c>
      <c r="U352" s="3">
        <f>IF(G352="","",IF(F352="BUY",-(M352+T352),M352-T352))</f>
        <v/>
      </c>
      <c r="V352">
        <f>IF(G352="","",Settings!$C$4+SUM($U$2:U352))</f>
        <v/>
      </c>
    </row>
    <row r="353">
      <c r="A353">
        <f>IF(G353="","",ROW()-1)</f>
        <v/>
      </c>
      <c r="B353" s="8" t="n"/>
      <c r="G353" s="3" t="n"/>
      <c r="H353" s="3" t="n"/>
      <c r="I353" s="3" t="n"/>
      <c r="J353" s="3" t="n"/>
      <c r="K353" s="3" t="n"/>
      <c r="L353" s="3" t="n"/>
      <c r="M353" s="3">
        <f>IF(G353="","",G353*H353)</f>
        <v/>
      </c>
      <c r="N353" s="3">
        <f>IF(G353="","",Settings!$C$5)</f>
        <v/>
      </c>
      <c r="O353" s="3">
        <f>IF(G353="","",IF(F353="SELL",M353*IF(E353="Equity Intraday",Settings!$C$8,Settings!$C$7),0))</f>
        <v/>
      </c>
      <c r="P353" s="3">
        <f>IF(G353="","",M353*(Settings!$C$9+Settings!$C$10))</f>
        <v/>
      </c>
      <c r="Q353" s="3">
        <f>IF(G353="","",IF(F353="BUY",M353*Settings!$C$11,0))</f>
        <v/>
      </c>
      <c r="R353" s="3">
        <f>IF(G353="","",N353*Settings!$C$6)</f>
        <v/>
      </c>
      <c r="S353" s="3">
        <f>IF(G353="","",IF(AND(F353="SELL",E353="Equity Delivery"),Settings!$C$13,0))</f>
        <v/>
      </c>
      <c r="T353" s="3">
        <f>IF(G353="","",SUM(N353:S353))</f>
        <v/>
      </c>
      <c r="U353" s="3">
        <f>IF(G353="","",IF(F353="BUY",-(M353+T353),M353-T353))</f>
        <v/>
      </c>
      <c r="V353">
        <f>IF(G353="","",Settings!$C$4+SUM($U$2:U353))</f>
        <v/>
      </c>
    </row>
    <row r="354">
      <c r="A354">
        <f>IF(G354="","",ROW()-1)</f>
        <v/>
      </c>
      <c r="B354" s="8" t="n"/>
      <c r="G354" s="3" t="n"/>
      <c r="H354" s="3" t="n"/>
      <c r="I354" s="3" t="n"/>
      <c r="J354" s="3" t="n"/>
      <c r="K354" s="3" t="n"/>
      <c r="L354" s="3" t="n"/>
      <c r="M354" s="3">
        <f>IF(G354="","",G354*H354)</f>
        <v/>
      </c>
      <c r="N354" s="3">
        <f>IF(G354="","",Settings!$C$5)</f>
        <v/>
      </c>
      <c r="O354" s="3">
        <f>IF(G354="","",IF(F354="SELL",M354*IF(E354="Equity Intraday",Settings!$C$8,Settings!$C$7),0))</f>
        <v/>
      </c>
      <c r="P354" s="3">
        <f>IF(G354="","",M354*(Settings!$C$9+Settings!$C$10))</f>
        <v/>
      </c>
      <c r="Q354" s="3">
        <f>IF(G354="","",IF(F354="BUY",M354*Settings!$C$11,0))</f>
        <v/>
      </c>
      <c r="R354" s="3">
        <f>IF(G354="","",N354*Settings!$C$6)</f>
        <v/>
      </c>
      <c r="S354" s="3">
        <f>IF(G354="","",IF(AND(F354="SELL",E354="Equity Delivery"),Settings!$C$13,0))</f>
        <v/>
      </c>
      <c r="T354" s="3">
        <f>IF(G354="","",SUM(N354:S354))</f>
        <v/>
      </c>
      <c r="U354" s="3">
        <f>IF(G354="","",IF(F354="BUY",-(M354+T354),M354-T354))</f>
        <v/>
      </c>
      <c r="V354">
        <f>IF(G354="","",Settings!$C$4+SUM($U$2:U354))</f>
        <v/>
      </c>
    </row>
    <row r="355">
      <c r="A355">
        <f>IF(G355="","",ROW()-1)</f>
        <v/>
      </c>
      <c r="B355" s="8" t="n"/>
      <c r="G355" s="3" t="n"/>
      <c r="H355" s="3" t="n"/>
      <c r="I355" s="3" t="n"/>
      <c r="J355" s="3" t="n"/>
      <c r="K355" s="3" t="n"/>
      <c r="L355" s="3" t="n"/>
      <c r="M355" s="3">
        <f>IF(G355="","",G355*H355)</f>
        <v/>
      </c>
      <c r="N355" s="3">
        <f>IF(G355="","",Settings!$C$5)</f>
        <v/>
      </c>
      <c r="O355" s="3">
        <f>IF(G355="","",IF(F355="SELL",M355*IF(E355="Equity Intraday",Settings!$C$8,Settings!$C$7),0))</f>
        <v/>
      </c>
      <c r="P355" s="3">
        <f>IF(G355="","",M355*(Settings!$C$9+Settings!$C$10))</f>
        <v/>
      </c>
      <c r="Q355" s="3">
        <f>IF(G355="","",IF(F355="BUY",M355*Settings!$C$11,0))</f>
        <v/>
      </c>
      <c r="R355" s="3">
        <f>IF(G355="","",N355*Settings!$C$6)</f>
        <v/>
      </c>
      <c r="S355" s="3">
        <f>IF(G355="","",IF(AND(F355="SELL",E355="Equity Delivery"),Settings!$C$13,0))</f>
        <v/>
      </c>
      <c r="T355" s="3">
        <f>IF(G355="","",SUM(N355:S355))</f>
        <v/>
      </c>
      <c r="U355" s="3">
        <f>IF(G355="","",IF(F355="BUY",-(M355+T355),M355-T355))</f>
        <v/>
      </c>
      <c r="V355">
        <f>IF(G355="","",Settings!$C$4+SUM($U$2:U355))</f>
        <v/>
      </c>
    </row>
    <row r="356">
      <c r="A356">
        <f>IF(G356="","",ROW()-1)</f>
        <v/>
      </c>
      <c r="B356" s="8" t="n"/>
      <c r="G356" s="3" t="n"/>
      <c r="H356" s="3" t="n"/>
      <c r="I356" s="3" t="n"/>
      <c r="J356" s="3" t="n"/>
      <c r="K356" s="3" t="n"/>
      <c r="L356" s="3" t="n"/>
      <c r="M356" s="3">
        <f>IF(G356="","",G356*H356)</f>
        <v/>
      </c>
      <c r="N356" s="3">
        <f>IF(G356="","",Settings!$C$5)</f>
        <v/>
      </c>
      <c r="O356" s="3">
        <f>IF(G356="","",IF(F356="SELL",M356*IF(E356="Equity Intraday",Settings!$C$8,Settings!$C$7),0))</f>
        <v/>
      </c>
      <c r="P356" s="3">
        <f>IF(G356="","",M356*(Settings!$C$9+Settings!$C$10))</f>
        <v/>
      </c>
      <c r="Q356" s="3">
        <f>IF(G356="","",IF(F356="BUY",M356*Settings!$C$11,0))</f>
        <v/>
      </c>
      <c r="R356" s="3">
        <f>IF(G356="","",N356*Settings!$C$6)</f>
        <v/>
      </c>
      <c r="S356" s="3">
        <f>IF(G356="","",IF(AND(F356="SELL",E356="Equity Delivery"),Settings!$C$13,0))</f>
        <v/>
      </c>
      <c r="T356" s="3">
        <f>IF(G356="","",SUM(N356:S356))</f>
        <v/>
      </c>
      <c r="U356" s="3">
        <f>IF(G356="","",IF(F356="BUY",-(M356+T356),M356-T356))</f>
        <v/>
      </c>
      <c r="V356">
        <f>IF(G356="","",Settings!$C$4+SUM($U$2:U356))</f>
        <v/>
      </c>
    </row>
    <row r="357">
      <c r="A357">
        <f>IF(G357="","",ROW()-1)</f>
        <v/>
      </c>
      <c r="B357" s="8" t="n"/>
      <c r="G357" s="3" t="n"/>
      <c r="H357" s="3" t="n"/>
      <c r="I357" s="3" t="n"/>
      <c r="J357" s="3" t="n"/>
      <c r="K357" s="3" t="n"/>
      <c r="L357" s="3" t="n"/>
      <c r="M357" s="3">
        <f>IF(G357="","",G357*H357)</f>
        <v/>
      </c>
      <c r="N357" s="3">
        <f>IF(G357="","",Settings!$C$5)</f>
        <v/>
      </c>
      <c r="O357" s="3">
        <f>IF(G357="","",IF(F357="SELL",M357*IF(E357="Equity Intraday",Settings!$C$8,Settings!$C$7),0))</f>
        <v/>
      </c>
      <c r="P357" s="3">
        <f>IF(G357="","",M357*(Settings!$C$9+Settings!$C$10))</f>
        <v/>
      </c>
      <c r="Q357" s="3">
        <f>IF(G357="","",IF(F357="BUY",M357*Settings!$C$11,0))</f>
        <v/>
      </c>
      <c r="R357" s="3">
        <f>IF(G357="","",N357*Settings!$C$6)</f>
        <v/>
      </c>
      <c r="S357" s="3">
        <f>IF(G357="","",IF(AND(F357="SELL",E357="Equity Delivery"),Settings!$C$13,0))</f>
        <v/>
      </c>
      <c r="T357" s="3">
        <f>IF(G357="","",SUM(N357:S357))</f>
        <v/>
      </c>
      <c r="U357" s="3">
        <f>IF(G357="","",IF(F357="BUY",-(M357+T357),M357-T357))</f>
        <v/>
      </c>
      <c r="V357">
        <f>IF(G357="","",Settings!$C$4+SUM($U$2:U357))</f>
        <v/>
      </c>
    </row>
    <row r="358">
      <c r="A358">
        <f>IF(G358="","",ROW()-1)</f>
        <v/>
      </c>
      <c r="B358" s="8" t="n"/>
      <c r="G358" s="3" t="n"/>
      <c r="H358" s="3" t="n"/>
      <c r="I358" s="3" t="n"/>
      <c r="J358" s="3" t="n"/>
      <c r="K358" s="3" t="n"/>
      <c r="L358" s="3" t="n"/>
      <c r="M358" s="3">
        <f>IF(G358="","",G358*H358)</f>
        <v/>
      </c>
      <c r="N358" s="3">
        <f>IF(G358="","",Settings!$C$5)</f>
        <v/>
      </c>
      <c r="O358" s="3">
        <f>IF(G358="","",IF(F358="SELL",M358*IF(E358="Equity Intraday",Settings!$C$8,Settings!$C$7),0))</f>
        <v/>
      </c>
      <c r="P358" s="3">
        <f>IF(G358="","",M358*(Settings!$C$9+Settings!$C$10))</f>
        <v/>
      </c>
      <c r="Q358" s="3">
        <f>IF(G358="","",IF(F358="BUY",M358*Settings!$C$11,0))</f>
        <v/>
      </c>
      <c r="R358" s="3">
        <f>IF(G358="","",N358*Settings!$C$6)</f>
        <v/>
      </c>
      <c r="S358" s="3">
        <f>IF(G358="","",IF(AND(F358="SELL",E358="Equity Delivery"),Settings!$C$13,0))</f>
        <v/>
      </c>
      <c r="T358" s="3">
        <f>IF(G358="","",SUM(N358:S358))</f>
        <v/>
      </c>
      <c r="U358" s="3">
        <f>IF(G358="","",IF(F358="BUY",-(M358+T358),M358-T358))</f>
        <v/>
      </c>
      <c r="V358">
        <f>IF(G358="","",Settings!$C$4+SUM($U$2:U358))</f>
        <v/>
      </c>
    </row>
    <row r="359">
      <c r="A359">
        <f>IF(G359="","",ROW()-1)</f>
        <v/>
      </c>
      <c r="B359" s="8" t="n"/>
      <c r="G359" s="3" t="n"/>
      <c r="H359" s="3" t="n"/>
      <c r="I359" s="3" t="n"/>
      <c r="J359" s="3" t="n"/>
      <c r="K359" s="3" t="n"/>
      <c r="L359" s="3" t="n"/>
      <c r="M359" s="3">
        <f>IF(G359="","",G359*H359)</f>
        <v/>
      </c>
      <c r="N359" s="3">
        <f>IF(G359="","",Settings!$C$5)</f>
        <v/>
      </c>
      <c r="O359" s="3">
        <f>IF(G359="","",IF(F359="SELL",M359*IF(E359="Equity Intraday",Settings!$C$8,Settings!$C$7),0))</f>
        <v/>
      </c>
      <c r="P359" s="3">
        <f>IF(G359="","",M359*(Settings!$C$9+Settings!$C$10))</f>
        <v/>
      </c>
      <c r="Q359" s="3">
        <f>IF(G359="","",IF(F359="BUY",M359*Settings!$C$11,0))</f>
        <v/>
      </c>
      <c r="R359" s="3">
        <f>IF(G359="","",N359*Settings!$C$6)</f>
        <v/>
      </c>
      <c r="S359" s="3">
        <f>IF(G359="","",IF(AND(F359="SELL",E359="Equity Delivery"),Settings!$C$13,0))</f>
        <v/>
      </c>
      <c r="T359" s="3">
        <f>IF(G359="","",SUM(N359:S359))</f>
        <v/>
      </c>
      <c r="U359" s="3">
        <f>IF(G359="","",IF(F359="BUY",-(M359+T359),M359-T359))</f>
        <v/>
      </c>
      <c r="V359">
        <f>IF(G359="","",Settings!$C$4+SUM($U$2:U359))</f>
        <v/>
      </c>
    </row>
    <row r="360">
      <c r="A360">
        <f>IF(G360="","",ROW()-1)</f>
        <v/>
      </c>
      <c r="B360" s="8" t="n"/>
      <c r="G360" s="3" t="n"/>
      <c r="H360" s="3" t="n"/>
      <c r="I360" s="3" t="n"/>
      <c r="J360" s="3" t="n"/>
      <c r="K360" s="3" t="n"/>
      <c r="L360" s="3" t="n"/>
      <c r="M360" s="3">
        <f>IF(G360="","",G360*H360)</f>
        <v/>
      </c>
      <c r="N360" s="3">
        <f>IF(G360="","",Settings!$C$5)</f>
        <v/>
      </c>
      <c r="O360" s="3">
        <f>IF(G360="","",IF(F360="SELL",M360*IF(E360="Equity Intraday",Settings!$C$8,Settings!$C$7),0))</f>
        <v/>
      </c>
      <c r="P360" s="3">
        <f>IF(G360="","",M360*(Settings!$C$9+Settings!$C$10))</f>
        <v/>
      </c>
      <c r="Q360" s="3">
        <f>IF(G360="","",IF(F360="BUY",M360*Settings!$C$11,0))</f>
        <v/>
      </c>
      <c r="R360" s="3">
        <f>IF(G360="","",N360*Settings!$C$6)</f>
        <v/>
      </c>
      <c r="S360" s="3">
        <f>IF(G360="","",IF(AND(F360="SELL",E360="Equity Delivery"),Settings!$C$13,0))</f>
        <v/>
      </c>
      <c r="T360" s="3">
        <f>IF(G360="","",SUM(N360:S360))</f>
        <v/>
      </c>
      <c r="U360" s="3">
        <f>IF(G360="","",IF(F360="BUY",-(M360+T360),M360-T360))</f>
        <v/>
      </c>
      <c r="V360">
        <f>IF(G360="","",Settings!$C$4+SUM($U$2:U360))</f>
        <v/>
      </c>
    </row>
    <row r="361">
      <c r="A361">
        <f>IF(G361="","",ROW()-1)</f>
        <v/>
      </c>
      <c r="B361" s="8" t="n"/>
      <c r="G361" s="3" t="n"/>
      <c r="H361" s="3" t="n"/>
      <c r="I361" s="3" t="n"/>
      <c r="J361" s="3" t="n"/>
      <c r="K361" s="3" t="n"/>
      <c r="L361" s="3" t="n"/>
      <c r="M361" s="3">
        <f>IF(G361="","",G361*H361)</f>
        <v/>
      </c>
      <c r="N361" s="3">
        <f>IF(G361="","",Settings!$C$5)</f>
        <v/>
      </c>
      <c r="O361" s="3">
        <f>IF(G361="","",IF(F361="SELL",M361*IF(E361="Equity Intraday",Settings!$C$8,Settings!$C$7),0))</f>
        <v/>
      </c>
      <c r="P361" s="3">
        <f>IF(G361="","",M361*(Settings!$C$9+Settings!$C$10))</f>
        <v/>
      </c>
      <c r="Q361" s="3">
        <f>IF(G361="","",IF(F361="BUY",M361*Settings!$C$11,0))</f>
        <v/>
      </c>
      <c r="R361" s="3">
        <f>IF(G361="","",N361*Settings!$C$6)</f>
        <v/>
      </c>
      <c r="S361" s="3">
        <f>IF(G361="","",IF(AND(F361="SELL",E361="Equity Delivery"),Settings!$C$13,0))</f>
        <v/>
      </c>
      <c r="T361" s="3">
        <f>IF(G361="","",SUM(N361:S361))</f>
        <v/>
      </c>
      <c r="U361" s="3">
        <f>IF(G361="","",IF(F361="BUY",-(M361+T361),M361-T361))</f>
        <v/>
      </c>
      <c r="V361">
        <f>IF(G361="","",Settings!$C$4+SUM($U$2:U361))</f>
        <v/>
      </c>
    </row>
    <row r="362">
      <c r="A362">
        <f>IF(G362="","",ROW()-1)</f>
        <v/>
      </c>
      <c r="B362" s="8" t="n"/>
      <c r="G362" s="3" t="n"/>
      <c r="H362" s="3" t="n"/>
      <c r="I362" s="3" t="n"/>
      <c r="J362" s="3" t="n"/>
      <c r="K362" s="3" t="n"/>
      <c r="L362" s="3" t="n"/>
      <c r="M362" s="3">
        <f>IF(G362="","",G362*H362)</f>
        <v/>
      </c>
      <c r="N362" s="3">
        <f>IF(G362="","",Settings!$C$5)</f>
        <v/>
      </c>
      <c r="O362" s="3">
        <f>IF(G362="","",IF(F362="SELL",M362*IF(E362="Equity Intraday",Settings!$C$8,Settings!$C$7),0))</f>
        <v/>
      </c>
      <c r="P362" s="3">
        <f>IF(G362="","",M362*(Settings!$C$9+Settings!$C$10))</f>
        <v/>
      </c>
      <c r="Q362" s="3">
        <f>IF(G362="","",IF(F362="BUY",M362*Settings!$C$11,0))</f>
        <v/>
      </c>
      <c r="R362" s="3">
        <f>IF(G362="","",N362*Settings!$C$6)</f>
        <v/>
      </c>
      <c r="S362" s="3">
        <f>IF(G362="","",IF(AND(F362="SELL",E362="Equity Delivery"),Settings!$C$13,0))</f>
        <v/>
      </c>
      <c r="T362" s="3">
        <f>IF(G362="","",SUM(N362:S362))</f>
        <v/>
      </c>
      <c r="U362" s="3">
        <f>IF(G362="","",IF(F362="BUY",-(M362+T362),M362-T362))</f>
        <v/>
      </c>
      <c r="V362">
        <f>IF(G362="","",Settings!$C$4+SUM($U$2:U362))</f>
        <v/>
      </c>
    </row>
    <row r="363">
      <c r="A363">
        <f>IF(G363="","",ROW()-1)</f>
        <v/>
      </c>
      <c r="B363" s="8" t="n"/>
      <c r="G363" s="3" t="n"/>
      <c r="H363" s="3" t="n"/>
      <c r="I363" s="3" t="n"/>
      <c r="J363" s="3" t="n"/>
      <c r="K363" s="3" t="n"/>
      <c r="L363" s="3" t="n"/>
      <c r="M363" s="3">
        <f>IF(G363="","",G363*H363)</f>
        <v/>
      </c>
      <c r="N363" s="3">
        <f>IF(G363="","",Settings!$C$5)</f>
        <v/>
      </c>
      <c r="O363" s="3">
        <f>IF(G363="","",IF(F363="SELL",M363*IF(E363="Equity Intraday",Settings!$C$8,Settings!$C$7),0))</f>
        <v/>
      </c>
      <c r="P363" s="3">
        <f>IF(G363="","",M363*(Settings!$C$9+Settings!$C$10))</f>
        <v/>
      </c>
      <c r="Q363" s="3">
        <f>IF(G363="","",IF(F363="BUY",M363*Settings!$C$11,0))</f>
        <v/>
      </c>
      <c r="R363" s="3">
        <f>IF(G363="","",N363*Settings!$C$6)</f>
        <v/>
      </c>
      <c r="S363" s="3">
        <f>IF(G363="","",IF(AND(F363="SELL",E363="Equity Delivery"),Settings!$C$13,0))</f>
        <v/>
      </c>
      <c r="T363" s="3">
        <f>IF(G363="","",SUM(N363:S363))</f>
        <v/>
      </c>
      <c r="U363" s="3">
        <f>IF(G363="","",IF(F363="BUY",-(M363+T363),M363-T363))</f>
        <v/>
      </c>
      <c r="V363">
        <f>IF(G363="","",Settings!$C$4+SUM($U$2:U363))</f>
        <v/>
      </c>
    </row>
    <row r="364">
      <c r="A364">
        <f>IF(G364="","",ROW()-1)</f>
        <v/>
      </c>
      <c r="B364" s="8" t="n"/>
      <c r="G364" s="3" t="n"/>
      <c r="H364" s="3" t="n"/>
      <c r="I364" s="3" t="n"/>
      <c r="J364" s="3" t="n"/>
      <c r="K364" s="3" t="n"/>
      <c r="L364" s="3" t="n"/>
      <c r="M364" s="3">
        <f>IF(G364="","",G364*H364)</f>
        <v/>
      </c>
      <c r="N364" s="3">
        <f>IF(G364="","",Settings!$C$5)</f>
        <v/>
      </c>
      <c r="O364" s="3">
        <f>IF(G364="","",IF(F364="SELL",M364*IF(E364="Equity Intraday",Settings!$C$8,Settings!$C$7),0))</f>
        <v/>
      </c>
      <c r="P364" s="3">
        <f>IF(G364="","",M364*(Settings!$C$9+Settings!$C$10))</f>
        <v/>
      </c>
      <c r="Q364" s="3">
        <f>IF(G364="","",IF(F364="BUY",M364*Settings!$C$11,0))</f>
        <v/>
      </c>
      <c r="R364" s="3">
        <f>IF(G364="","",N364*Settings!$C$6)</f>
        <v/>
      </c>
      <c r="S364" s="3">
        <f>IF(G364="","",IF(AND(F364="SELL",E364="Equity Delivery"),Settings!$C$13,0))</f>
        <v/>
      </c>
      <c r="T364" s="3">
        <f>IF(G364="","",SUM(N364:S364))</f>
        <v/>
      </c>
      <c r="U364" s="3">
        <f>IF(G364="","",IF(F364="BUY",-(M364+T364),M364-T364))</f>
        <v/>
      </c>
      <c r="V364">
        <f>IF(G364="","",Settings!$C$4+SUM($U$2:U364))</f>
        <v/>
      </c>
    </row>
    <row r="365">
      <c r="A365">
        <f>IF(G365="","",ROW()-1)</f>
        <v/>
      </c>
      <c r="B365" s="8" t="n"/>
      <c r="G365" s="3" t="n"/>
      <c r="H365" s="3" t="n"/>
      <c r="I365" s="3" t="n"/>
      <c r="J365" s="3" t="n"/>
      <c r="K365" s="3" t="n"/>
      <c r="L365" s="3" t="n"/>
      <c r="M365" s="3">
        <f>IF(G365="","",G365*H365)</f>
        <v/>
      </c>
      <c r="N365" s="3">
        <f>IF(G365="","",Settings!$C$5)</f>
        <v/>
      </c>
      <c r="O365" s="3">
        <f>IF(G365="","",IF(F365="SELL",M365*IF(E365="Equity Intraday",Settings!$C$8,Settings!$C$7),0))</f>
        <v/>
      </c>
      <c r="P365" s="3">
        <f>IF(G365="","",M365*(Settings!$C$9+Settings!$C$10))</f>
        <v/>
      </c>
      <c r="Q365" s="3">
        <f>IF(G365="","",IF(F365="BUY",M365*Settings!$C$11,0))</f>
        <v/>
      </c>
      <c r="R365" s="3">
        <f>IF(G365="","",N365*Settings!$C$6)</f>
        <v/>
      </c>
      <c r="S365" s="3">
        <f>IF(G365="","",IF(AND(F365="SELL",E365="Equity Delivery"),Settings!$C$13,0))</f>
        <v/>
      </c>
      <c r="T365" s="3">
        <f>IF(G365="","",SUM(N365:S365))</f>
        <v/>
      </c>
      <c r="U365" s="3">
        <f>IF(G365="","",IF(F365="BUY",-(M365+T365),M365-T365))</f>
        <v/>
      </c>
      <c r="V365">
        <f>IF(G365="","",Settings!$C$4+SUM($U$2:U365))</f>
        <v/>
      </c>
    </row>
    <row r="366">
      <c r="A366">
        <f>IF(G366="","",ROW()-1)</f>
        <v/>
      </c>
      <c r="B366" s="8" t="n"/>
      <c r="G366" s="3" t="n"/>
      <c r="H366" s="3" t="n"/>
      <c r="I366" s="3" t="n"/>
      <c r="J366" s="3" t="n"/>
      <c r="K366" s="3" t="n"/>
      <c r="L366" s="3" t="n"/>
      <c r="M366" s="3">
        <f>IF(G366="","",G366*H366)</f>
        <v/>
      </c>
      <c r="N366" s="3">
        <f>IF(G366="","",Settings!$C$5)</f>
        <v/>
      </c>
      <c r="O366" s="3">
        <f>IF(G366="","",IF(F366="SELL",M366*IF(E366="Equity Intraday",Settings!$C$8,Settings!$C$7),0))</f>
        <v/>
      </c>
      <c r="P366" s="3">
        <f>IF(G366="","",M366*(Settings!$C$9+Settings!$C$10))</f>
        <v/>
      </c>
      <c r="Q366" s="3">
        <f>IF(G366="","",IF(F366="BUY",M366*Settings!$C$11,0))</f>
        <v/>
      </c>
      <c r="R366" s="3">
        <f>IF(G366="","",N366*Settings!$C$6)</f>
        <v/>
      </c>
      <c r="S366" s="3">
        <f>IF(G366="","",IF(AND(F366="SELL",E366="Equity Delivery"),Settings!$C$13,0))</f>
        <v/>
      </c>
      <c r="T366" s="3">
        <f>IF(G366="","",SUM(N366:S366))</f>
        <v/>
      </c>
      <c r="U366" s="3">
        <f>IF(G366="","",IF(F366="BUY",-(M366+T366),M366-T366))</f>
        <v/>
      </c>
      <c r="V366">
        <f>IF(G366="","",Settings!$C$4+SUM($U$2:U366))</f>
        <v/>
      </c>
    </row>
    <row r="367">
      <c r="A367">
        <f>IF(G367="","",ROW()-1)</f>
        <v/>
      </c>
      <c r="B367" s="8" t="n"/>
      <c r="G367" s="3" t="n"/>
      <c r="H367" s="3" t="n"/>
      <c r="I367" s="3" t="n"/>
      <c r="J367" s="3" t="n"/>
      <c r="K367" s="3" t="n"/>
      <c r="L367" s="3" t="n"/>
      <c r="M367" s="3">
        <f>IF(G367="","",G367*H367)</f>
        <v/>
      </c>
      <c r="N367" s="3">
        <f>IF(G367="","",Settings!$C$5)</f>
        <v/>
      </c>
      <c r="O367" s="3">
        <f>IF(G367="","",IF(F367="SELL",M367*IF(E367="Equity Intraday",Settings!$C$8,Settings!$C$7),0))</f>
        <v/>
      </c>
      <c r="P367" s="3">
        <f>IF(G367="","",M367*(Settings!$C$9+Settings!$C$10))</f>
        <v/>
      </c>
      <c r="Q367" s="3">
        <f>IF(G367="","",IF(F367="BUY",M367*Settings!$C$11,0))</f>
        <v/>
      </c>
      <c r="R367" s="3">
        <f>IF(G367="","",N367*Settings!$C$6)</f>
        <v/>
      </c>
      <c r="S367" s="3">
        <f>IF(G367="","",IF(AND(F367="SELL",E367="Equity Delivery"),Settings!$C$13,0))</f>
        <v/>
      </c>
      <c r="T367" s="3">
        <f>IF(G367="","",SUM(N367:S367))</f>
        <v/>
      </c>
      <c r="U367" s="3">
        <f>IF(G367="","",IF(F367="BUY",-(M367+T367),M367-T367))</f>
        <v/>
      </c>
      <c r="V367">
        <f>IF(G367="","",Settings!$C$4+SUM($U$2:U367))</f>
        <v/>
      </c>
    </row>
    <row r="368">
      <c r="A368">
        <f>IF(G368="","",ROW()-1)</f>
        <v/>
      </c>
      <c r="B368" s="8" t="n"/>
      <c r="G368" s="3" t="n"/>
      <c r="H368" s="3" t="n"/>
      <c r="I368" s="3" t="n"/>
      <c r="J368" s="3" t="n"/>
      <c r="K368" s="3" t="n"/>
      <c r="L368" s="3" t="n"/>
      <c r="M368" s="3">
        <f>IF(G368="","",G368*H368)</f>
        <v/>
      </c>
      <c r="N368" s="3">
        <f>IF(G368="","",Settings!$C$5)</f>
        <v/>
      </c>
      <c r="O368" s="3">
        <f>IF(G368="","",IF(F368="SELL",M368*IF(E368="Equity Intraday",Settings!$C$8,Settings!$C$7),0))</f>
        <v/>
      </c>
      <c r="P368" s="3">
        <f>IF(G368="","",M368*(Settings!$C$9+Settings!$C$10))</f>
        <v/>
      </c>
      <c r="Q368" s="3">
        <f>IF(G368="","",IF(F368="BUY",M368*Settings!$C$11,0))</f>
        <v/>
      </c>
      <c r="R368" s="3">
        <f>IF(G368="","",N368*Settings!$C$6)</f>
        <v/>
      </c>
      <c r="S368" s="3">
        <f>IF(G368="","",IF(AND(F368="SELL",E368="Equity Delivery"),Settings!$C$13,0))</f>
        <v/>
      </c>
      <c r="T368" s="3">
        <f>IF(G368="","",SUM(N368:S368))</f>
        <v/>
      </c>
      <c r="U368" s="3">
        <f>IF(G368="","",IF(F368="BUY",-(M368+T368),M368-T368))</f>
        <v/>
      </c>
      <c r="V368">
        <f>IF(G368="","",Settings!$C$4+SUM($U$2:U368))</f>
        <v/>
      </c>
    </row>
    <row r="369">
      <c r="A369">
        <f>IF(G369="","",ROW()-1)</f>
        <v/>
      </c>
      <c r="B369" s="8" t="n"/>
      <c r="G369" s="3" t="n"/>
      <c r="H369" s="3" t="n"/>
      <c r="I369" s="3" t="n"/>
      <c r="J369" s="3" t="n"/>
      <c r="K369" s="3" t="n"/>
      <c r="L369" s="3" t="n"/>
      <c r="M369" s="3">
        <f>IF(G369="","",G369*H369)</f>
        <v/>
      </c>
      <c r="N369" s="3">
        <f>IF(G369="","",Settings!$C$5)</f>
        <v/>
      </c>
      <c r="O369" s="3">
        <f>IF(G369="","",IF(F369="SELL",M369*IF(E369="Equity Intraday",Settings!$C$8,Settings!$C$7),0))</f>
        <v/>
      </c>
      <c r="P369" s="3">
        <f>IF(G369="","",M369*(Settings!$C$9+Settings!$C$10))</f>
        <v/>
      </c>
      <c r="Q369" s="3">
        <f>IF(G369="","",IF(F369="BUY",M369*Settings!$C$11,0))</f>
        <v/>
      </c>
      <c r="R369" s="3">
        <f>IF(G369="","",N369*Settings!$C$6)</f>
        <v/>
      </c>
      <c r="S369" s="3">
        <f>IF(G369="","",IF(AND(F369="SELL",E369="Equity Delivery"),Settings!$C$13,0))</f>
        <v/>
      </c>
      <c r="T369" s="3">
        <f>IF(G369="","",SUM(N369:S369))</f>
        <v/>
      </c>
      <c r="U369" s="3">
        <f>IF(G369="","",IF(F369="BUY",-(M369+T369),M369-T369))</f>
        <v/>
      </c>
      <c r="V369">
        <f>IF(G369="","",Settings!$C$4+SUM($U$2:U369))</f>
        <v/>
      </c>
    </row>
    <row r="370">
      <c r="A370">
        <f>IF(G370="","",ROW()-1)</f>
        <v/>
      </c>
      <c r="B370" s="8" t="n"/>
      <c r="G370" s="3" t="n"/>
      <c r="H370" s="3" t="n"/>
      <c r="I370" s="3" t="n"/>
      <c r="J370" s="3" t="n"/>
      <c r="K370" s="3" t="n"/>
      <c r="L370" s="3" t="n"/>
      <c r="M370" s="3">
        <f>IF(G370="","",G370*H370)</f>
        <v/>
      </c>
      <c r="N370" s="3">
        <f>IF(G370="","",Settings!$C$5)</f>
        <v/>
      </c>
      <c r="O370" s="3">
        <f>IF(G370="","",IF(F370="SELL",M370*IF(E370="Equity Intraday",Settings!$C$8,Settings!$C$7),0))</f>
        <v/>
      </c>
      <c r="P370" s="3">
        <f>IF(G370="","",M370*(Settings!$C$9+Settings!$C$10))</f>
        <v/>
      </c>
      <c r="Q370" s="3">
        <f>IF(G370="","",IF(F370="BUY",M370*Settings!$C$11,0))</f>
        <v/>
      </c>
      <c r="R370" s="3">
        <f>IF(G370="","",N370*Settings!$C$6)</f>
        <v/>
      </c>
      <c r="S370" s="3">
        <f>IF(G370="","",IF(AND(F370="SELL",E370="Equity Delivery"),Settings!$C$13,0))</f>
        <v/>
      </c>
      <c r="T370" s="3">
        <f>IF(G370="","",SUM(N370:S370))</f>
        <v/>
      </c>
      <c r="U370" s="3">
        <f>IF(G370="","",IF(F370="BUY",-(M370+T370),M370-T370))</f>
        <v/>
      </c>
      <c r="V370">
        <f>IF(G370="","",Settings!$C$4+SUM($U$2:U370))</f>
        <v/>
      </c>
    </row>
    <row r="371">
      <c r="A371">
        <f>IF(G371="","",ROW()-1)</f>
        <v/>
      </c>
      <c r="B371" s="8" t="n"/>
      <c r="G371" s="3" t="n"/>
      <c r="H371" s="3" t="n"/>
      <c r="I371" s="3" t="n"/>
      <c r="J371" s="3" t="n"/>
      <c r="K371" s="3" t="n"/>
      <c r="L371" s="3" t="n"/>
      <c r="M371" s="3">
        <f>IF(G371="","",G371*H371)</f>
        <v/>
      </c>
      <c r="N371" s="3">
        <f>IF(G371="","",Settings!$C$5)</f>
        <v/>
      </c>
      <c r="O371" s="3">
        <f>IF(G371="","",IF(F371="SELL",M371*IF(E371="Equity Intraday",Settings!$C$8,Settings!$C$7),0))</f>
        <v/>
      </c>
      <c r="P371" s="3">
        <f>IF(G371="","",M371*(Settings!$C$9+Settings!$C$10))</f>
        <v/>
      </c>
      <c r="Q371" s="3">
        <f>IF(G371="","",IF(F371="BUY",M371*Settings!$C$11,0))</f>
        <v/>
      </c>
      <c r="R371" s="3">
        <f>IF(G371="","",N371*Settings!$C$6)</f>
        <v/>
      </c>
      <c r="S371" s="3">
        <f>IF(G371="","",IF(AND(F371="SELL",E371="Equity Delivery"),Settings!$C$13,0))</f>
        <v/>
      </c>
      <c r="T371" s="3">
        <f>IF(G371="","",SUM(N371:S371))</f>
        <v/>
      </c>
      <c r="U371" s="3">
        <f>IF(G371="","",IF(F371="BUY",-(M371+T371),M371-T371))</f>
        <v/>
      </c>
      <c r="V371">
        <f>IF(G371="","",Settings!$C$4+SUM($U$2:U371))</f>
        <v/>
      </c>
    </row>
    <row r="372">
      <c r="A372">
        <f>IF(G372="","",ROW()-1)</f>
        <v/>
      </c>
      <c r="B372" s="8" t="n"/>
      <c r="G372" s="3" t="n"/>
      <c r="H372" s="3" t="n"/>
      <c r="I372" s="3" t="n"/>
      <c r="J372" s="3" t="n"/>
      <c r="K372" s="3" t="n"/>
      <c r="L372" s="3" t="n"/>
      <c r="M372" s="3">
        <f>IF(G372="","",G372*H372)</f>
        <v/>
      </c>
      <c r="N372" s="3">
        <f>IF(G372="","",Settings!$C$5)</f>
        <v/>
      </c>
      <c r="O372" s="3">
        <f>IF(G372="","",IF(F372="SELL",M372*IF(E372="Equity Intraday",Settings!$C$8,Settings!$C$7),0))</f>
        <v/>
      </c>
      <c r="P372" s="3">
        <f>IF(G372="","",M372*(Settings!$C$9+Settings!$C$10))</f>
        <v/>
      </c>
      <c r="Q372" s="3">
        <f>IF(G372="","",IF(F372="BUY",M372*Settings!$C$11,0))</f>
        <v/>
      </c>
      <c r="R372" s="3">
        <f>IF(G372="","",N372*Settings!$C$6)</f>
        <v/>
      </c>
      <c r="S372" s="3">
        <f>IF(G372="","",IF(AND(F372="SELL",E372="Equity Delivery"),Settings!$C$13,0))</f>
        <v/>
      </c>
      <c r="T372" s="3">
        <f>IF(G372="","",SUM(N372:S372))</f>
        <v/>
      </c>
      <c r="U372" s="3">
        <f>IF(G372="","",IF(F372="BUY",-(M372+T372),M372-T372))</f>
        <v/>
      </c>
      <c r="V372">
        <f>IF(G372="","",Settings!$C$4+SUM($U$2:U372))</f>
        <v/>
      </c>
    </row>
    <row r="373">
      <c r="A373">
        <f>IF(G373="","",ROW()-1)</f>
        <v/>
      </c>
      <c r="B373" s="8" t="n"/>
      <c r="G373" s="3" t="n"/>
      <c r="H373" s="3" t="n"/>
      <c r="I373" s="3" t="n"/>
      <c r="J373" s="3" t="n"/>
      <c r="K373" s="3" t="n"/>
      <c r="L373" s="3" t="n"/>
      <c r="M373" s="3">
        <f>IF(G373="","",G373*H373)</f>
        <v/>
      </c>
      <c r="N373" s="3">
        <f>IF(G373="","",Settings!$C$5)</f>
        <v/>
      </c>
      <c r="O373" s="3">
        <f>IF(G373="","",IF(F373="SELL",M373*IF(E373="Equity Intraday",Settings!$C$8,Settings!$C$7),0))</f>
        <v/>
      </c>
      <c r="P373" s="3">
        <f>IF(G373="","",M373*(Settings!$C$9+Settings!$C$10))</f>
        <v/>
      </c>
      <c r="Q373" s="3">
        <f>IF(G373="","",IF(F373="BUY",M373*Settings!$C$11,0))</f>
        <v/>
      </c>
      <c r="R373" s="3">
        <f>IF(G373="","",N373*Settings!$C$6)</f>
        <v/>
      </c>
      <c r="S373" s="3">
        <f>IF(G373="","",IF(AND(F373="SELL",E373="Equity Delivery"),Settings!$C$13,0))</f>
        <v/>
      </c>
      <c r="T373" s="3">
        <f>IF(G373="","",SUM(N373:S373))</f>
        <v/>
      </c>
      <c r="U373" s="3">
        <f>IF(G373="","",IF(F373="BUY",-(M373+T373),M373-T373))</f>
        <v/>
      </c>
      <c r="V373">
        <f>IF(G373="","",Settings!$C$4+SUM($U$2:U373))</f>
        <v/>
      </c>
    </row>
    <row r="374">
      <c r="A374">
        <f>IF(G374="","",ROW()-1)</f>
        <v/>
      </c>
      <c r="B374" s="8" t="n"/>
      <c r="G374" s="3" t="n"/>
      <c r="H374" s="3" t="n"/>
      <c r="I374" s="3" t="n"/>
      <c r="J374" s="3" t="n"/>
      <c r="K374" s="3" t="n"/>
      <c r="L374" s="3" t="n"/>
      <c r="M374" s="3">
        <f>IF(G374="","",G374*H374)</f>
        <v/>
      </c>
      <c r="N374" s="3">
        <f>IF(G374="","",Settings!$C$5)</f>
        <v/>
      </c>
      <c r="O374" s="3">
        <f>IF(G374="","",IF(F374="SELL",M374*IF(E374="Equity Intraday",Settings!$C$8,Settings!$C$7),0))</f>
        <v/>
      </c>
      <c r="P374" s="3">
        <f>IF(G374="","",M374*(Settings!$C$9+Settings!$C$10))</f>
        <v/>
      </c>
      <c r="Q374" s="3">
        <f>IF(G374="","",IF(F374="BUY",M374*Settings!$C$11,0))</f>
        <v/>
      </c>
      <c r="R374" s="3">
        <f>IF(G374="","",N374*Settings!$C$6)</f>
        <v/>
      </c>
      <c r="S374" s="3">
        <f>IF(G374="","",IF(AND(F374="SELL",E374="Equity Delivery"),Settings!$C$13,0))</f>
        <v/>
      </c>
      <c r="T374" s="3">
        <f>IF(G374="","",SUM(N374:S374))</f>
        <v/>
      </c>
      <c r="U374" s="3">
        <f>IF(G374="","",IF(F374="BUY",-(M374+T374),M374-T374))</f>
        <v/>
      </c>
      <c r="V374">
        <f>IF(G374="","",Settings!$C$4+SUM($U$2:U374))</f>
        <v/>
      </c>
    </row>
    <row r="375">
      <c r="A375">
        <f>IF(G375="","",ROW()-1)</f>
        <v/>
      </c>
      <c r="B375" s="8" t="n"/>
      <c r="G375" s="3" t="n"/>
      <c r="H375" s="3" t="n"/>
      <c r="I375" s="3" t="n"/>
      <c r="J375" s="3" t="n"/>
      <c r="K375" s="3" t="n"/>
      <c r="L375" s="3" t="n"/>
      <c r="M375" s="3">
        <f>IF(G375="","",G375*H375)</f>
        <v/>
      </c>
      <c r="N375" s="3">
        <f>IF(G375="","",Settings!$C$5)</f>
        <v/>
      </c>
      <c r="O375" s="3">
        <f>IF(G375="","",IF(F375="SELL",M375*IF(E375="Equity Intraday",Settings!$C$8,Settings!$C$7),0))</f>
        <v/>
      </c>
      <c r="P375" s="3">
        <f>IF(G375="","",M375*(Settings!$C$9+Settings!$C$10))</f>
        <v/>
      </c>
      <c r="Q375" s="3">
        <f>IF(G375="","",IF(F375="BUY",M375*Settings!$C$11,0))</f>
        <v/>
      </c>
      <c r="R375" s="3">
        <f>IF(G375="","",N375*Settings!$C$6)</f>
        <v/>
      </c>
      <c r="S375" s="3">
        <f>IF(G375="","",IF(AND(F375="SELL",E375="Equity Delivery"),Settings!$C$13,0))</f>
        <v/>
      </c>
      <c r="T375" s="3">
        <f>IF(G375="","",SUM(N375:S375))</f>
        <v/>
      </c>
      <c r="U375" s="3">
        <f>IF(G375="","",IF(F375="BUY",-(M375+T375),M375-T375))</f>
        <v/>
      </c>
      <c r="V375">
        <f>IF(G375="","",Settings!$C$4+SUM($U$2:U375))</f>
        <v/>
      </c>
    </row>
    <row r="376">
      <c r="A376">
        <f>IF(G376="","",ROW()-1)</f>
        <v/>
      </c>
      <c r="B376" s="8" t="n"/>
      <c r="G376" s="3" t="n"/>
      <c r="H376" s="3" t="n"/>
      <c r="I376" s="3" t="n"/>
      <c r="J376" s="3" t="n"/>
      <c r="K376" s="3" t="n"/>
      <c r="L376" s="3" t="n"/>
      <c r="M376" s="3">
        <f>IF(G376="","",G376*H376)</f>
        <v/>
      </c>
      <c r="N376" s="3">
        <f>IF(G376="","",Settings!$C$5)</f>
        <v/>
      </c>
      <c r="O376" s="3">
        <f>IF(G376="","",IF(F376="SELL",M376*IF(E376="Equity Intraday",Settings!$C$8,Settings!$C$7),0))</f>
        <v/>
      </c>
      <c r="P376" s="3">
        <f>IF(G376="","",M376*(Settings!$C$9+Settings!$C$10))</f>
        <v/>
      </c>
      <c r="Q376" s="3">
        <f>IF(G376="","",IF(F376="BUY",M376*Settings!$C$11,0))</f>
        <v/>
      </c>
      <c r="R376" s="3">
        <f>IF(G376="","",N376*Settings!$C$6)</f>
        <v/>
      </c>
      <c r="S376" s="3">
        <f>IF(G376="","",IF(AND(F376="SELL",E376="Equity Delivery"),Settings!$C$13,0))</f>
        <v/>
      </c>
      <c r="T376" s="3">
        <f>IF(G376="","",SUM(N376:S376))</f>
        <v/>
      </c>
      <c r="U376" s="3">
        <f>IF(G376="","",IF(F376="BUY",-(M376+T376),M376-T376))</f>
        <v/>
      </c>
      <c r="V376">
        <f>IF(G376="","",Settings!$C$4+SUM($U$2:U376))</f>
        <v/>
      </c>
    </row>
    <row r="377">
      <c r="A377">
        <f>IF(G377="","",ROW()-1)</f>
        <v/>
      </c>
      <c r="B377" s="8" t="n"/>
      <c r="G377" s="3" t="n"/>
      <c r="H377" s="3" t="n"/>
      <c r="I377" s="3" t="n"/>
      <c r="J377" s="3" t="n"/>
      <c r="K377" s="3" t="n"/>
      <c r="L377" s="3" t="n"/>
      <c r="M377" s="3">
        <f>IF(G377="","",G377*H377)</f>
        <v/>
      </c>
      <c r="N377" s="3">
        <f>IF(G377="","",Settings!$C$5)</f>
        <v/>
      </c>
      <c r="O377" s="3">
        <f>IF(G377="","",IF(F377="SELL",M377*IF(E377="Equity Intraday",Settings!$C$8,Settings!$C$7),0))</f>
        <v/>
      </c>
      <c r="P377" s="3">
        <f>IF(G377="","",M377*(Settings!$C$9+Settings!$C$10))</f>
        <v/>
      </c>
      <c r="Q377" s="3">
        <f>IF(G377="","",IF(F377="BUY",M377*Settings!$C$11,0))</f>
        <v/>
      </c>
      <c r="R377" s="3">
        <f>IF(G377="","",N377*Settings!$C$6)</f>
        <v/>
      </c>
      <c r="S377" s="3">
        <f>IF(G377="","",IF(AND(F377="SELL",E377="Equity Delivery"),Settings!$C$13,0))</f>
        <v/>
      </c>
      <c r="T377" s="3">
        <f>IF(G377="","",SUM(N377:S377))</f>
        <v/>
      </c>
      <c r="U377" s="3">
        <f>IF(G377="","",IF(F377="BUY",-(M377+T377),M377-T377))</f>
        <v/>
      </c>
      <c r="V377">
        <f>IF(G377="","",Settings!$C$4+SUM($U$2:U377))</f>
        <v/>
      </c>
    </row>
    <row r="378">
      <c r="A378">
        <f>IF(G378="","",ROW()-1)</f>
        <v/>
      </c>
      <c r="B378" s="8" t="n"/>
      <c r="G378" s="3" t="n"/>
      <c r="H378" s="3" t="n"/>
      <c r="I378" s="3" t="n"/>
      <c r="J378" s="3" t="n"/>
      <c r="K378" s="3" t="n"/>
      <c r="L378" s="3" t="n"/>
      <c r="M378" s="3">
        <f>IF(G378="","",G378*H378)</f>
        <v/>
      </c>
      <c r="N378" s="3">
        <f>IF(G378="","",Settings!$C$5)</f>
        <v/>
      </c>
      <c r="O378" s="3">
        <f>IF(G378="","",IF(F378="SELL",M378*IF(E378="Equity Intraday",Settings!$C$8,Settings!$C$7),0))</f>
        <v/>
      </c>
      <c r="P378" s="3">
        <f>IF(G378="","",M378*(Settings!$C$9+Settings!$C$10))</f>
        <v/>
      </c>
      <c r="Q378" s="3">
        <f>IF(G378="","",IF(F378="BUY",M378*Settings!$C$11,0))</f>
        <v/>
      </c>
      <c r="R378" s="3">
        <f>IF(G378="","",N378*Settings!$C$6)</f>
        <v/>
      </c>
      <c r="S378" s="3">
        <f>IF(G378="","",IF(AND(F378="SELL",E378="Equity Delivery"),Settings!$C$13,0))</f>
        <v/>
      </c>
      <c r="T378" s="3">
        <f>IF(G378="","",SUM(N378:S378))</f>
        <v/>
      </c>
      <c r="U378" s="3">
        <f>IF(G378="","",IF(F378="BUY",-(M378+T378),M378-T378))</f>
        <v/>
      </c>
      <c r="V378">
        <f>IF(G378="","",Settings!$C$4+SUM($U$2:U378))</f>
        <v/>
      </c>
    </row>
    <row r="379">
      <c r="A379">
        <f>IF(G379="","",ROW()-1)</f>
        <v/>
      </c>
      <c r="B379" s="8" t="n"/>
      <c r="G379" s="3" t="n"/>
      <c r="H379" s="3" t="n"/>
      <c r="I379" s="3" t="n"/>
      <c r="J379" s="3" t="n"/>
      <c r="K379" s="3" t="n"/>
      <c r="L379" s="3" t="n"/>
      <c r="M379" s="3">
        <f>IF(G379="","",G379*H379)</f>
        <v/>
      </c>
      <c r="N379" s="3">
        <f>IF(G379="","",Settings!$C$5)</f>
        <v/>
      </c>
      <c r="O379" s="3">
        <f>IF(G379="","",IF(F379="SELL",M379*IF(E379="Equity Intraday",Settings!$C$8,Settings!$C$7),0))</f>
        <v/>
      </c>
      <c r="P379" s="3">
        <f>IF(G379="","",M379*(Settings!$C$9+Settings!$C$10))</f>
        <v/>
      </c>
      <c r="Q379" s="3">
        <f>IF(G379="","",IF(F379="BUY",M379*Settings!$C$11,0))</f>
        <v/>
      </c>
      <c r="R379" s="3">
        <f>IF(G379="","",N379*Settings!$C$6)</f>
        <v/>
      </c>
      <c r="S379" s="3">
        <f>IF(G379="","",IF(AND(F379="SELL",E379="Equity Delivery"),Settings!$C$13,0))</f>
        <v/>
      </c>
      <c r="T379" s="3">
        <f>IF(G379="","",SUM(N379:S379))</f>
        <v/>
      </c>
      <c r="U379" s="3">
        <f>IF(G379="","",IF(F379="BUY",-(M379+T379),M379-T379))</f>
        <v/>
      </c>
      <c r="V379">
        <f>IF(G379="","",Settings!$C$4+SUM($U$2:U379))</f>
        <v/>
      </c>
    </row>
    <row r="380">
      <c r="A380">
        <f>IF(G380="","",ROW()-1)</f>
        <v/>
      </c>
      <c r="B380" s="8" t="n"/>
      <c r="G380" s="3" t="n"/>
      <c r="H380" s="3" t="n"/>
      <c r="I380" s="3" t="n"/>
      <c r="J380" s="3" t="n"/>
      <c r="K380" s="3" t="n"/>
      <c r="L380" s="3" t="n"/>
      <c r="M380" s="3">
        <f>IF(G380="","",G380*H380)</f>
        <v/>
      </c>
      <c r="N380" s="3">
        <f>IF(G380="","",Settings!$C$5)</f>
        <v/>
      </c>
      <c r="O380" s="3">
        <f>IF(G380="","",IF(F380="SELL",M380*IF(E380="Equity Intraday",Settings!$C$8,Settings!$C$7),0))</f>
        <v/>
      </c>
      <c r="P380" s="3">
        <f>IF(G380="","",M380*(Settings!$C$9+Settings!$C$10))</f>
        <v/>
      </c>
      <c r="Q380" s="3">
        <f>IF(G380="","",IF(F380="BUY",M380*Settings!$C$11,0))</f>
        <v/>
      </c>
      <c r="R380" s="3">
        <f>IF(G380="","",N380*Settings!$C$6)</f>
        <v/>
      </c>
      <c r="S380" s="3">
        <f>IF(G380="","",IF(AND(F380="SELL",E380="Equity Delivery"),Settings!$C$13,0))</f>
        <v/>
      </c>
      <c r="T380" s="3">
        <f>IF(G380="","",SUM(N380:S380))</f>
        <v/>
      </c>
      <c r="U380" s="3">
        <f>IF(G380="","",IF(F380="BUY",-(M380+T380),M380-T380))</f>
        <v/>
      </c>
      <c r="V380">
        <f>IF(G380="","",Settings!$C$4+SUM($U$2:U380))</f>
        <v/>
      </c>
    </row>
    <row r="381">
      <c r="A381">
        <f>IF(G381="","",ROW()-1)</f>
        <v/>
      </c>
      <c r="B381" s="8" t="n"/>
      <c r="G381" s="3" t="n"/>
      <c r="H381" s="3" t="n"/>
      <c r="I381" s="3" t="n"/>
      <c r="J381" s="3" t="n"/>
      <c r="K381" s="3" t="n"/>
      <c r="L381" s="3" t="n"/>
      <c r="M381" s="3">
        <f>IF(G381="","",G381*H381)</f>
        <v/>
      </c>
      <c r="N381" s="3">
        <f>IF(G381="","",Settings!$C$5)</f>
        <v/>
      </c>
      <c r="O381" s="3">
        <f>IF(G381="","",IF(F381="SELL",M381*IF(E381="Equity Intraday",Settings!$C$8,Settings!$C$7),0))</f>
        <v/>
      </c>
      <c r="P381" s="3">
        <f>IF(G381="","",M381*(Settings!$C$9+Settings!$C$10))</f>
        <v/>
      </c>
      <c r="Q381" s="3">
        <f>IF(G381="","",IF(F381="BUY",M381*Settings!$C$11,0))</f>
        <v/>
      </c>
      <c r="R381" s="3">
        <f>IF(G381="","",N381*Settings!$C$6)</f>
        <v/>
      </c>
      <c r="S381" s="3">
        <f>IF(G381="","",IF(AND(F381="SELL",E381="Equity Delivery"),Settings!$C$13,0))</f>
        <v/>
      </c>
      <c r="T381" s="3">
        <f>IF(G381="","",SUM(N381:S381))</f>
        <v/>
      </c>
      <c r="U381" s="3">
        <f>IF(G381="","",IF(F381="BUY",-(M381+T381),M381-T381))</f>
        <v/>
      </c>
      <c r="V381">
        <f>IF(G381="","",Settings!$C$4+SUM($U$2:U381))</f>
        <v/>
      </c>
    </row>
    <row r="382">
      <c r="A382">
        <f>IF(G382="","",ROW()-1)</f>
        <v/>
      </c>
      <c r="B382" s="8" t="n"/>
      <c r="G382" s="3" t="n"/>
      <c r="H382" s="3" t="n"/>
      <c r="I382" s="3" t="n"/>
      <c r="J382" s="3" t="n"/>
      <c r="K382" s="3" t="n"/>
      <c r="L382" s="3" t="n"/>
      <c r="M382" s="3">
        <f>IF(G382="","",G382*H382)</f>
        <v/>
      </c>
      <c r="N382" s="3">
        <f>IF(G382="","",Settings!$C$5)</f>
        <v/>
      </c>
      <c r="O382" s="3">
        <f>IF(G382="","",IF(F382="SELL",M382*IF(E382="Equity Intraday",Settings!$C$8,Settings!$C$7),0))</f>
        <v/>
      </c>
      <c r="P382" s="3">
        <f>IF(G382="","",M382*(Settings!$C$9+Settings!$C$10))</f>
        <v/>
      </c>
      <c r="Q382" s="3">
        <f>IF(G382="","",IF(F382="BUY",M382*Settings!$C$11,0))</f>
        <v/>
      </c>
      <c r="R382" s="3">
        <f>IF(G382="","",N382*Settings!$C$6)</f>
        <v/>
      </c>
      <c r="S382" s="3">
        <f>IF(G382="","",IF(AND(F382="SELL",E382="Equity Delivery"),Settings!$C$13,0))</f>
        <v/>
      </c>
      <c r="T382" s="3">
        <f>IF(G382="","",SUM(N382:S382))</f>
        <v/>
      </c>
      <c r="U382" s="3">
        <f>IF(G382="","",IF(F382="BUY",-(M382+T382),M382-T382))</f>
        <v/>
      </c>
      <c r="V382">
        <f>IF(G382="","",Settings!$C$4+SUM($U$2:U382))</f>
        <v/>
      </c>
    </row>
    <row r="383">
      <c r="A383">
        <f>IF(G383="","",ROW()-1)</f>
        <v/>
      </c>
      <c r="B383" s="8" t="n"/>
      <c r="G383" s="3" t="n"/>
      <c r="H383" s="3" t="n"/>
      <c r="I383" s="3" t="n"/>
      <c r="J383" s="3" t="n"/>
      <c r="K383" s="3" t="n"/>
      <c r="L383" s="3" t="n"/>
      <c r="M383" s="3">
        <f>IF(G383="","",G383*H383)</f>
        <v/>
      </c>
      <c r="N383" s="3">
        <f>IF(G383="","",Settings!$C$5)</f>
        <v/>
      </c>
      <c r="O383" s="3">
        <f>IF(G383="","",IF(F383="SELL",M383*IF(E383="Equity Intraday",Settings!$C$8,Settings!$C$7),0))</f>
        <v/>
      </c>
      <c r="P383" s="3">
        <f>IF(G383="","",M383*(Settings!$C$9+Settings!$C$10))</f>
        <v/>
      </c>
      <c r="Q383" s="3">
        <f>IF(G383="","",IF(F383="BUY",M383*Settings!$C$11,0))</f>
        <v/>
      </c>
      <c r="R383" s="3">
        <f>IF(G383="","",N383*Settings!$C$6)</f>
        <v/>
      </c>
      <c r="S383" s="3">
        <f>IF(G383="","",IF(AND(F383="SELL",E383="Equity Delivery"),Settings!$C$13,0))</f>
        <v/>
      </c>
      <c r="T383" s="3">
        <f>IF(G383="","",SUM(N383:S383))</f>
        <v/>
      </c>
      <c r="U383" s="3">
        <f>IF(G383="","",IF(F383="BUY",-(M383+T383),M383-T383))</f>
        <v/>
      </c>
      <c r="V383">
        <f>IF(G383="","",Settings!$C$4+SUM($U$2:U383))</f>
        <v/>
      </c>
    </row>
    <row r="384">
      <c r="A384">
        <f>IF(G384="","",ROW()-1)</f>
        <v/>
      </c>
      <c r="B384" s="8" t="n"/>
      <c r="G384" s="3" t="n"/>
      <c r="H384" s="3" t="n"/>
      <c r="I384" s="3" t="n"/>
      <c r="J384" s="3" t="n"/>
      <c r="K384" s="3" t="n"/>
      <c r="L384" s="3" t="n"/>
      <c r="M384" s="3">
        <f>IF(G384="","",G384*H384)</f>
        <v/>
      </c>
      <c r="N384" s="3">
        <f>IF(G384="","",Settings!$C$5)</f>
        <v/>
      </c>
      <c r="O384" s="3">
        <f>IF(G384="","",IF(F384="SELL",M384*IF(E384="Equity Intraday",Settings!$C$8,Settings!$C$7),0))</f>
        <v/>
      </c>
      <c r="P384" s="3">
        <f>IF(G384="","",M384*(Settings!$C$9+Settings!$C$10))</f>
        <v/>
      </c>
      <c r="Q384" s="3">
        <f>IF(G384="","",IF(F384="BUY",M384*Settings!$C$11,0))</f>
        <v/>
      </c>
      <c r="R384" s="3">
        <f>IF(G384="","",N384*Settings!$C$6)</f>
        <v/>
      </c>
      <c r="S384" s="3">
        <f>IF(G384="","",IF(AND(F384="SELL",E384="Equity Delivery"),Settings!$C$13,0))</f>
        <v/>
      </c>
      <c r="T384" s="3">
        <f>IF(G384="","",SUM(N384:S384))</f>
        <v/>
      </c>
      <c r="U384" s="3">
        <f>IF(G384="","",IF(F384="BUY",-(M384+T384),M384-T384))</f>
        <v/>
      </c>
      <c r="V384">
        <f>IF(G384="","",Settings!$C$4+SUM($U$2:U384))</f>
        <v/>
      </c>
    </row>
    <row r="385">
      <c r="A385">
        <f>IF(G385="","",ROW()-1)</f>
        <v/>
      </c>
      <c r="B385" s="8" t="n"/>
      <c r="G385" s="3" t="n"/>
      <c r="H385" s="3" t="n"/>
      <c r="I385" s="3" t="n"/>
      <c r="J385" s="3" t="n"/>
      <c r="K385" s="3" t="n"/>
      <c r="L385" s="3" t="n"/>
      <c r="M385" s="3">
        <f>IF(G385="","",G385*H385)</f>
        <v/>
      </c>
      <c r="N385" s="3">
        <f>IF(G385="","",Settings!$C$5)</f>
        <v/>
      </c>
      <c r="O385" s="3">
        <f>IF(G385="","",IF(F385="SELL",M385*IF(E385="Equity Intraday",Settings!$C$8,Settings!$C$7),0))</f>
        <v/>
      </c>
      <c r="P385" s="3">
        <f>IF(G385="","",M385*(Settings!$C$9+Settings!$C$10))</f>
        <v/>
      </c>
      <c r="Q385" s="3">
        <f>IF(G385="","",IF(F385="BUY",M385*Settings!$C$11,0))</f>
        <v/>
      </c>
      <c r="R385" s="3">
        <f>IF(G385="","",N385*Settings!$C$6)</f>
        <v/>
      </c>
      <c r="S385" s="3">
        <f>IF(G385="","",IF(AND(F385="SELL",E385="Equity Delivery"),Settings!$C$13,0))</f>
        <v/>
      </c>
      <c r="T385" s="3">
        <f>IF(G385="","",SUM(N385:S385))</f>
        <v/>
      </c>
      <c r="U385" s="3">
        <f>IF(G385="","",IF(F385="BUY",-(M385+T385),M385-T385))</f>
        <v/>
      </c>
      <c r="V385">
        <f>IF(G385="","",Settings!$C$4+SUM($U$2:U385))</f>
        <v/>
      </c>
    </row>
    <row r="386">
      <c r="A386">
        <f>IF(G386="","",ROW()-1)</f>
        <v/>
      </c>
      <c r="B386" s="8" t="n"/>
      <c r="G386" s="3" t="n"/>
      <c r="H386" s="3" t="n"/>
      <c r="I386" s="3" t="n"/>
      <c r="J386" s="3" t="n"/>
      <c r="K386" s="3" t="n"/>
      <c r="L386" s="3" t="n"/>
      <c r="M386" s="3">
        <f>IF(G386="","",G386*H386)</f>
        <v/>
      </c>
      <c r="N386" s="3">
        <f>IF(G386="","",Settings!$C$5)</f>
        <v/>
      </c>
      <c r="O386" s="3">
        <f>IF(G386="","",IF(F386="SELL",M386*IF(E386="Equity Intraday",Settings!$C$8,Settings!$C$7),0))</f>
        <v/>
      </c>
      <c r="P386" s="3">
        <f>IF(G386="","",M386*(Settings!$C$9+Settings!$C$10))</f>
        <v/>
      </c>
      <c r="Q386" s="3">
        <f>IF(G386="","",IF(F386="BUY",M386*Settings!$C$11,0))</f>
        <v/>
      </c>
      <c r="R386" s="3">
        <f>IF(G386="","",N386*Settings!$C$6)</f>
        <v/>
      </c>
      <c r="S386" s="3">
        <f>IF(G386="","",IF(AND(F386="SELL",E386="Equity Delivery"),Settings!$C$13,0))</f>
        <v/>
      </c>
      <c r="T386" s="3">
        <f>IF(G386="","",SUM(N386:S386))</f>
        <v/>
      </c>
      <c r="U386" s="3">
        <f>IF(G386="","",IF(F386="BUY",-(M386+T386),M386-T386))</f>
        <v/>
      </c>
      <c r="V386">
        <f>IF(G386="","",Settings!$C$4+SUM($U$2:U386))</f>
        <v/>
      </c>
    </row>
    <row r="387">
      <c r="A387">
        <f>IF(G387="","",ROW()-1)</f>
        <v/>
      </c>
      <c r="B387" s="8" t="n"/>
      <c r="G387" s="3" t="n"/>
      <c r="H387" s="3" t="n"/>
      <c r="I387" s="3" t="n"/>
      <c r="J387" s="3" t="n"/>
      <c r="K387" s="3" t="n"/>
      <c r="L387" s="3" t="n"/>
      <c r="M387" s="3">
        <f>IF(G387="","",G387*H387)</f>
        <v/>
      </c>
      <c r="N387" s="3">
        <f>IF(G387="","",Settings!$C$5)</f>
        <v/>
      </c>
      <c r="O387" s="3">
        <f>IF(G387="","",IF(F387="SELL",M387*IF(E387="Equity Intraday",Settings!$C$8,Settings!$C$7),0))</f>
        <v/>
      </c>
      <c r="P387" s="3">
        <f>IF(G387="","",M387*(Settings!$C$9+Settings!$C$10))</f>
        <v/>
      </c>
      <c r="Q387" s="3">
        <f>IF(G387="","",IF(F387="BUY",M387*Settings!$C$11,0))</f>
        <v/>
      </c>
      <c r="R387" s="3">
        <f>IF(G387="","",N387*Settings!$C$6)</f>
        <v/>
      </c>
      <c r="S387" s="3">
        <f>IF(G387="","",IF(AND(F387="SELL",E387="Equity Delivery"),Settings!$C$13,0))</f>
        <v/>
      </c>
      <c r="T387" s="3">
        <f>IF(G387="","",SUM(N387:S387))</f>
        <v/>
      </c>
      <c r="U387" s="3">
        <f>IF(G387="","",IF(F387="BUY",-(M387+T387),M387-T387))</f>
        <v/>
      </c>
      <c r="V387">
        <f>IF(G387="","",Settings!$C$4+SUM($U$2:U387))</f>
        <v/>
      </c>
    </row>
    <row r="388">
      <c r="A388">
        <f>IF(G388="","",ROW()-1)</f>
        <v/>
      </c>
      <c r="B388" s="8" t="n"/>
      <c r="G388" s="3" t="n"/>
      <c r="H388" s="3" t="n"/>
      <c r="I388" s="3" t="n"/>
      <c r="J388" s="3" t="n"/>
      <c r="K388" s="3" t="n"/>
      <c r="L388" s="3" t="n"/>
      <c r="M388" s="3">
        <f>IF(G388="","",G388*H388)</f>
        <v/>
      </c>
      <c r="N388" s="3">
        <f>IF(G388="","",Settings!$C$5)</f>
        <v/>
      </c>
      <c r="O388" s="3">
        <f>IF(G388="","",IF(F388="SELL",M388*IF(E388="Equity Intraday",Settings!$C$8,Settings!$C$7),0))</f>
        <v/>
      </c>
      <c r="P388" s="3">
        <f>IF(G388="","",M388*(Settings!$C$9+Settings!$C$10))</f>
        <v/>
      </c>
      <c r="Q388" s="3">
        <f>IF(G388="","",IF(F388="BUY",M388*Settings!$C$11,0))</f>
        <v/>
      </c>
      <c r="R388" s="3">
        <f>IF(G388="","",N388*Settings!$C$6)</f>
        <v/>
      </c>
      <c r="S388" s="3">
        <f>IF(G388="","",IF(AND(F388="SELL",E388="Equity Delivery"),Settings!$C$13,0))</f>
        <v/>
      </c>
      <c r="T388" s="3">
        <f>IF(G388="","",SUM(N388:S388))</f>
        <v/>
      </c>
      <c r="U388" s="3">
        <f>IF(G388="","",IF(F388="BUY",-(M388+T388),M388-T388))</f>
        <v/>
      </c>
      <c r="V388">
        <f>IF(G388="","",Settings!$C$4+SUM($U$2:U388))</f>
        <v/>
      </c>
    </row>
    <row r="389">
      <c r="A389">
        <f>IF(G389="","",ROW()-1)</f>
        <v/>
      </c>
      <c r="B389" s="8" t="n"/>
      <c r="G389" s="3" t="n"/>
      <c r="H389" s="3" t="n"/>
      <c r="I389" s="3" t="n"/>
      <c r="J389" s="3" t="n"/>
      <c r="K389" s="3" t="n"/>
      <c r="L389" s="3" t="n"/>
      <c r="M389" s="3">
        <f>IF(G389="","",G389*H389)</f>
        <v/>
      </c>
      <c r="N389" s="3">
        <f>IF(G389="","",Settings!$C$5)</f>
        <v/>
      </c>
      <c r="O389" s="3">
        <f>IF(G389="","",IF(F389="SELL",M389*IF(E389="Equity Intraday",Settings!$C$8,Settings!$C$7),0))</f>
        <v/>
      </c>
      <c r="P389" s="3">
        <f>IF(G389="","",M389*(Settings!$C$9+Settings!$C$10))</f>
        <v/>
      </c>
      <c r="Q389" s="3">
        <f>IF(G389="","",IF(F389="BUY",M389*Settings!$C$11,0))</f>
        <v/>
      </c>
      <c r="R389" s="3">
        <f>IF(G389="","",N389*Settings!$C$6)</f>
        <v/>
      </c>
      <c r="S389" s="3">
        <f>IF(G389="","",IF(AND(F389="SELL",E389="Equity Delivery"),Settings!$C$13,0))</f>
        <v/>
      </c>
      <c r="T389" s="3">
        <f>IF(G389="","",SUM(N389:S389))</f>
        <v/>
      </c>
      <c r="U389" s="3">
        <f>IF(G389="","",IF(F389="BUY",-(M389+T389),M389-T389))</f>
        <v/>
      </c>
      <c r="V389">
        <f>IF(G389="","",Settings!$C$4+SUM($U$2:U389))</f>
        <v/>
      </c>
    </row>
    <row r="390">
      <c r="A390">
        <f>IF(G390="","",ROW()-1)</f>
        <v/>
      </c>
      <c r="B390" s="8" t="n"/>
      <c r="G390" s="3" t="n"/>
      <c r="H390" s="3" t="n"/>
      <c r="I390" s="3" t="n"/>
      <c r="J390" s="3" t="n"/>
      <c r="K390" s="3" t="n"/>
      <c r="L390" s="3" t="n"/>
      <c r="M390" s="3">
        <f>IF(G390="","",G390*H390)</f>
        <v/>
      </c>
      <c r="N390" s="3">
        <f>IF(G390="","",Settings!$C$5)</f>
        <v/>
      </c>
      <c r="O390" s="3">
        <f>IF(G390="","",IF(F390="SELL",M390*IF(E390="Equity Intraday",Settings!$C$8,Settings!$C$7),0))</f>
        <v/>
      </c>
      <c r="P390" s="3">
        <f>IF(G390="","",M390*(Settings!$C$9+Settings!$C$10))</f>
        <v/>
      </c>
      <c r="Q390" s="3">
        <f>IF(G390="","",IF(F390="BUY",M390*Settings!$C$11,0))</f>
        <v/>
      </c>
      <c r="R390" s="3">
        <f>IF(G390="","",N390*Settings!$C$6)</f>
        <v/>
      </c>
      <c r="S390" s="3">
        <f>IF(G390="","",IF(AND(F390="SELL",E390="Equity Delivery"),Settings!$C$13,0))</f>
        <v/>
      </c>
      <c r="T390" s="3">
        <f>IF(G390="","",SUM(N390:S390))</f>
        <v/>
      </c>
      <c r="U390" s="3">
        <f>IF(G390="","",IF(F390="BUY",-(M390+T390),M390-T390))</f>
        <v/>
      </c>
      <c r="V390">
        <f>IF(G390="","",Settings!$C$4+SUM($U$2:U390))</f>
        <v/>
      </c>
    </row>
    <row r="391">
      <c r="A391">
        <f>IF(G391="","",ROW()-1)</f>
        <v/>
      </c>
      <c r="B391" s="8" t="n"/>
      <c r="G391" s="3" t="n"/>
      <c r="H391" s="3" t="n"/>
      <c r="I391" s="3" t="n"/>
      <c r="J391" s="3" t="n"/>
      <c r="K391" s="3" t="n"/>
      <c r="L391" s="3" t="n"/>
      <c r="M391" s="3">
        <f>IF(G391="","",G391*H391)</f>
        <v/>
      </c>
      <c r="N391" s="3">
        <f>IF(G391="","",Settings!$C$5)</f>
        <v/>
      </c>
      <c r="O391" s="3">
        <f>IF(G391="","",IF(F391="SELL",M391*IF(E391="Equity Intraday",Settings!$C$8,Settings!$C$7),0))</f>
        <v/>
      </c>
      <c r="P391" s="3">
        <f>IF(G391="","",M391*(Settings!$C$9+Settings!$C$10))</f>
        <v/>
      </c>
      <c r="Q391" s="3">
        <f>IF(G391="","",IF(F391="BUY",M391*Settings!$C$11,0))</f>
        <v/>
      </c>
      <c r="R391" s="3">
        <f>IF(G391="","",N391*Settings!$C$6)</f>
        <v/>
      </c>
      <c r="S391" s="3">
        <f>IF(G391="","",IF(AND(F391="SELL",E391="Equity Delivery"),Settings!$C$13,0))</f>
        <v/>
      </c>
      <c r="T391" s="3">
        <f>IF(G391="","",SUM(N391:S391))</f>
        <v/>
      </c>
      <c r="U391" s="3">
        <f>IF(G391="","",IF(F391="BUY",-(M391+T391),M391-T391))</f>
        <v/>
      </c>
      <c r="V391">
        <f>IF(G391="","",Settings!$C$4+SUM($U$2:U391))</f>
        <v/>
      </c>
    </row>
    <row r="392">
      <c r="A392">
        <f>IF(G392="","",ROW()-1)</f>
        <v/>
      </c>
      <c r="B392" s="8" t="n"/>
      <c r="G392" s="3" t="n"/>
      <c r="H392" s="3" t="n"/>
      <c r="I392" s="3" t="n"/>
      <c r="J392" s="3" t="n"/>
      <c r="K392" s="3" t="n"/>
      <c r="L392" s="3" t="n"/>
      <c r="M392" s="3">
        <f>IF(G392="","",G392*H392)</f>
        <v/>
      </c>
      <c r="N392" s="3">
        <f>IF(G392="","",Settings!$C$5)</f>
        <v/>
      </c>
      <c r="O392" s="3">
        <f>IF(G392="","",IF(F392="SELL",M392*IF(E392="Equity Intraday",Settings!$C$8,Settings!$C$7),0))</f>
        <v/>
      </c>
      <c r="P392" s="3">
        <f>IF(G392="","",M392*(Settings!$C$9+Settings!$C$10))</f>
        <v/>
      </c>
      <c r="Q392" s="3">
        <f>IF(G392="","",IF(F392="BUY",M392*Settings!$C$11,0))</f>
        <v/>
      </c>
      <c r="R392" s="3">
        <f>IF(G392="","",N392*Settings!$C$6)</f>
        <v/>
      </c>
      <c r="S392" s="3">
        <f>IF(G392="","",IF(AND(F392="SELL",E392="Equity Delivery"),Settings!$C$13,0))</f>
        <v/>
      </c>
      <c r="T392" s="3">
        <f>IF(G392="","",SUM(N392:S392))</f>
        <v/>
      </c>
      <c r="U392" s="3">
        <f>IF(G392="","",IF(F392="BUY",-(M392+T392),M392-T392))</f>
        <v/>
      </c>
      <c r="V392">
        <f>IF(G392="","",Settings!$C$4+SUM($U$2:U392))</f>
        <v/>
      </c>
    </row>
    <row r="393">
      <c r="A393">
        <f>IF(G393="","",ROW()-1)</f>
        <v/>
      </c>
      <c r="B393" s="8" t="n"/>
      <c r="G393" s="3" t="n"/>
      <c r="H393" s="3" t="n"/>
      <c r="I393" s="3" t="n"/>
      <c r="J393" s="3" t="n"/>
      <c r="K393" s="3" t="n"/>
      <c r="L393" s="3" t="n"/>
      <c r="M393" s="3">
        <f>IF(G393="","",G393*H393)</f>
        <v/>
      </c>
      <c r="N393" s="3">
        <f>IF(G393="","",Settings!$C$5)</f>
        <v/>
      </c>
      <c r="O393" s="3">
        <f>IF(G393="","",IF(F393="SELL",M393*IF(E393="Equity Intraday",Settings!$C$8,Settings!$C$7),0))</f>
        <v/>
      </c>
      <c r="P393" s="3">
        <f>IF(G393="","",M393*(Settings!$C$9+Settings!$C$10))</f>
        <v/>
      </c>
      <c r="Q393" s="3">
        <f>IF(G393="","",IF(F393="BUY",M393*Settings!$C$11,0))</f>
        <v/>
      </c>
      <c r="R393" s="3">
        <f>IF(G393="","",N393*Settings!$C$6)</f>
        <v/>
      </c>
      <c r="S393" s="3">
        <f>IF(G393="","",IF(AND(F393="SELL",E393="Equity Delivery"),Settings!$C$13,0))</f>
        <v/>
      </c>
      <c r="T393" s="3">
        <f>IF(G393="","",SUM(N393:S393))</f>
        <v/>
      </c>
      <c r="U393" s="3">
        <f>IF(G393="","",IF(F393="BUY",-(M393+T393),M393-T393))</f>
        <v/>
      </c>
      <c r="V393">
        <f>IF(G393="","",Settings!$C$4+SUM($U$2:U393))</f>
        <v/>
      </c>
    </row>
    <row r="394">
      <c r="A394">
        <f>IF(G394="","",ROW()-1)</f>
        <v/>
      </c>
      <c r="B394" s="8" t="n"/>
      <c r="G394" s="3" t="n"/>
      <c r="H394" s="3" t="n"/>
      <c r="I394" s="3" t="n"/>
      <c r="J394" s="3" t="n"/>
      <c r="K394" s="3" t="n"/>
      <c r="L394" s="3" t="n"/>
      <c r="M394" s="3">
        <f>IF(G394="","",G394*H394)</f>
        <v/>
      </c>
      <c r="N394" s="3">
        <f>IF(G394="","",Settings!$C$5)</f>
        <v/>
      </c>
      <c r="O394" s="3">
        <f>IF(G394="","",IF(F394="SELL",M394*IF(E394="Equity Intraday",Settings!$C$8,Settings!$C$7),0))</f>
        <v/>
      </c>
      <c r="P394" s="3">
        <f>IF(G394="","",M394*(Settings!$C$9+Settings!$C$10))</f>
        <v/>
      </c>
      <c r="Q394" s="3">
        <f>IF(G394="","",IF(F394="BUY",M394*Settings!$C$11,0))</f>
        <v/>
      </c>
      <c r="R394" s="3">
        <f>IF(G394="","",N394*Settings!$C$6)</f>
        <v/>
      </c>
      <c r="S394" s="3">
        <f>IF(G394="","",IF(AND(F394="SELL",E394="Equity Delivery"),Settings!$C$13,0))</f>
        <v/>
      </c>
      <c r="T394" s="3">
        <f>IF(G394="","",SUM(N394:S394))</f>
        <v/>
      </c>
      <c r="U394" s="3">
        <f>IF(G394="","",IF(F394="BUY",-(M394+T394),M394-T394))</f>
        <v/>
      </c>
      <c r="V394">
        <f>IF(G394="","",Settings!$C$4+SUM($U$2:U394))</f>
        <v/>
      </c>
    </row>
    <row r="395">
      <c r="A395">
        <f>IF(G395="","",ROW()-1)</f>
        <v/>
      </c>
      <c r="B395" s="8" t="n"/>
      <c r="G395" s="3" t="n"/>
      <c r="H395" s="3" t="n"/>
      <c r="I395" s="3" t="n"/>
      <c r="J395" s="3" t="n"/>
      <c r="K395" s="3" t="n"/>
      <c r="L395" s="3" t="n"/>
      <c r="M395" s="3">
        <f>IF(G395="","",G395*H395)</f>
        <v/>
      </c>
      <c r="N395" s="3">
        <f>IF(G395="","",Settings!$C$5)</f>
        <v/>
      </c>
      <c r="O395" s="3">
        <f>IF(G395="","",IF(F395="SELL",M395*IF(E395="Equity Intraday",Settings!$C$8,Settings!$C$7),0))</f>
        <v/>
      </c>
      <c r="P395" s="3">
        <f>IF(G395="","",M395*(Settings!$C$9+Settings!$C$10))</f>
        <v/>
      </c>
      <c r="Q395" s="3">
        <f>IF(G395="","",IF(F395="BUY",M395*Settings!$C$11,0))</f>
        <v/>
      </c>
      <c r="R395" s="3">
        <f>IF(G395="","",N395*Settings!$C$6)</f>
        <v/>
      </c>
      <c r="S395" s="3">
        <f>IF(G395="","",IF(AND(F395="SELL",E395="Equity Delivery"),Settings!$C$13,0))</f>
        <v/>
      </c>
      <c r="T395" s="3">
        <f>IF(G395="","",SUM(N395:S395))</f>
        <v/>
      </c>
      <c r="U395" s="3">
        <f>IF(G395="","",IF(F395="BUY",-(M395+T395),M395-T395))</f>
        <v/>
      </c>
      <c r="V395">
        <f>IF(G395="","",Settings!$C$4+SUM($U$2:U395))</f>
        <v/>
      </c>
    </row>
    <row r="396">
      <c r="A396">
        <f>IF(G396="","",ROW()-1)</f>
        <v/>
      </c>
      <c r="B396" s="8" t="n"/>
      <c r="G396" s="3" t="n"/>
      <c r="H396" s="3" t="n"/>
      <c r="I396" s="3" t="n"/>
      <c r="J396" s="3" t="n"/>
      <c r="K396" s="3" t="n"/>
      <c r="L396" s="3" t="n"/>
      <c r="M396" s="3">
        <f>IF(G396="","",G396*H396)</f>
        <v/>
      </c>
      <c r="N396" s="3">
        <f>IF(G396="","",Settings!$C$5)</f>
        <v/>
      </c>
      <c r="O396" s="3">
        <f>IF(G396="","",IF(F396="SELL",M396*IF(E396="Equity Intraday",Settings!$C$8,Settings!$C$7),0))</f>
        <v/>
      </c>
      <c r="P396" s="3">
        <f>IF(G396="","",M396*(Settings!$C$9+Settings!$C$10))</f>
        <v/>
      </c>
      <c r="Q396" s="3">
        <f>IF(G396="","",IF(F396="BUY",M396*Settings!$C$11,0))</f>
        <v/>
      </c>
      <c r="R396" s="3">
        <f>IF(G396="","",N396*Settings!$C$6)</f>
        <v/>
      </c>
      <c r="S396" s="3">
        <f>IF(G396="","",IF(AND(F396="SELL",E396="Equity Delivery"),Settings!$C$13,0))</f>
        <v/>
      </c>
      <c r="T396" s="3">
        <f>IF(G396="","",SUM(N396:S396))</f>
        <v/>
      </c>
      <c r="U396" s="3">
        <f>IF(G396="","",IF(F396="BUY",-(M396+T396),M396-T396))</f>
        <v/>
      </c>
      <c r="V396">
        <f>IF(G396="","",Settings!$C$4+SUM($U$2:U396))</f>
        <v/>
      </c>
    </row>
    <row r="397">
      <c r="A397">
        <f>IF(G397="","",ROW()-1)</f>
        <v/>
      </c>
      <c r="B397" s="8" t="n"/>
      <c r="G397" s="3" t="n"/>
      <c r="H397" s="3" t="n"/>
      <c r="I397" s="3" t="n"/>
      <c r="J397" s="3" t="n"/>
      <c r="K397" s="3" t="n"/>
      <c r="L397" s="3" t="n"/>
      <c r="M397" s="3">
        <f>IF(G397="","",G397*H397)</f>
        <v/>
      </c>
      <c r="N397" s="3">
        <f>IF(G397="","",Settings!$C$5)</f>
        <v/>
      </c>
      <c r="O397" s="3">
        <f>IF(G397="","",IF(F397="SELL",M397*IF(E397="Equity Intraday",Settings!$C$8,Settings!$C$7),0))</f>
        <v/>
      </c>
      <c r="P397" s="3">
        <f>IF(G397="","",M397*(Settings!$C$9+Settings!$C$10))</f>
        <v/>
      </c>
      <c r="Q397" s="3">
        <f>IF(G397="","",IF(F397="BUY",M397*Settings!$C$11,0))</f>
        <v/>
      </c>
      <c r="R397" s="3">
        <f>IF(G397="","",N397*Settings!$C$6)</f>
        <v/>
      </c>
      <c r="S397" s="3">
        <f>IF(G397="","",IF(AND(F397="SELL",E397="Equity Delivery"),Settings!$C$13,0))</f>
        <v/>
      </c>
      <c r="T397" s="3">
        <f>IF(G397="","",SUM(N397:S397))</f>
        <v/>
      </c>
      <c r="U397" s="3">
        <f>IF(G397="","",IF(F397="BUY",-(M397+T397),M397-T397))</f>
        <v/>
      </c>
      <c r="V397">
        <f>IF(G397="","",Settings!$C$4+SUM($U$2:U397))</f>
        <v/>
      </c>
    </row>
    <row r="398">
      <c r="A398">
        <f>IF(G398="","",ROW()-1)</f>
        <v/>
      </c>
      <c r="B398" s="8" t="n"/>
      <c r="G398" s="3" t="n"/>
      <c r="H398" s="3" t="n"/>
      <c r="I398" s="3" t="n"/>
      <c r="J398" s="3" t="n"/>
      <c r="K398" s="3" t="n"/>
      <c r="L398" s="3" t="n"/>
      <c r="M398" s="3">
        <f>IF(G398="","",G398*H398)</f>
        <v/>
      </c>
      <c r="N398" s="3">
        <f>IF(G398="","",Settings!$C$5)</f>
        <v/>
      </c>
      <c r="O398" s="3">
        <f>IF(G398="","",IF(F398="SELL",M398*IF(E398="Equity Intraday",Settings!$C$8,Settings!$C$7),0))</f>
        <v/>
      </c>
      <c r="P398" s="3">
        <f>IF(G398="","",M398*(Settings!$C$9+Settings!$C$10))</f>
        <v/>
      </c>
      <c r="Q398" s="3">
        <f>IF(G398="","",IF(F398="BUY",M398*Settings!$C$11,0))</f>
        <v/>
      </c>
      <c r="R398" s="3">
        <f>IF(G398="","",N398*Settings!$C$6)</f>
        <v/>
      </c>
      <c r="S398" s="3">
        <f>IF(G398="","",IF(AND(F398="SELL",E398="Equity Delivery"),Settings!$C$13,0))</f>
        <v/>
      </c>
      <c r="T398" s="3">
        <f>IF(G398="","",SUM(N398:S398))</f>
        <v/>
      </c>
      <c r="U398" s="3">
        <f>IF(G398="","",IF(F398="BUY",-(M398+T398),M398-T398))</f>
        <v/>
      </c>
      <c r="V398">
        <f>IF(G398="","",Settings!$C$4+SUM($U$2:U398))</f>
        <v/>
      </c>
    </row>
    <row r="399">
      <c r="A399">
        <f>IF(G399="","",ROW()-1)</f>
        <v/>
      </c>
      <c r="B399" s="8" t="n"/>
      <c r="G399" s="3" t="n"/>
      <c r="H399" s="3" t="n"/>
      <c r="I399" s="3" t="n"/>
      <c r="J399" s="3" t="n"/>
      <c r="K399" s="3" t="n"/>
      <c r="L399" s="3" t="n"/>
      <c r="M399" s="3">
        <f>IF(G399="","",G399*H399)</f>
        <v/>
      </c>
      <c r="N399" s="3">
        <f>IF(G399="","",Settings!$C$5)</f>
        <v/>
      </c>
      <c r="O399" s="3">
        <f>IF(G399="","",IF(F399="SELL",M399*IF(E399="Equity Intraday",Settings!$C$8,Settings!$C$7),0))</f>
        <v/>
      </c>
      <c r="P399" s="3">
        <f>IF(G399="","",M399*(Settings!$C$9+Settings!$C$10))</f>
        <v/>
      </c>
      <c r="Q399" s="3">
        <f>IF(G399="","",IF(F399="BUY",M399*Settings!$C$11,0))</f>
        <v/>
      </c>
      <c r="R399" s="3">
        <f>IF(G399="","",N399*Settings!$C$6)</f>
        <v/>
      </c>
      <c r="S399" s="3">
        <f>IF(G399="","",IF(AND(F399="SELL",E399="Equity Delivery"),Settings!$C$13,0))</f>
        <v/>
      </c>
      <c r="T399" s="3">
        <f>IF(G399="","",SUM(N399:S399))</f>
        <v/>
      </c>
      <c r="U399" s="3">
        <f>IF(G399="","",IF(F399="BUY",-(M399+T399),M399-T399))</f>
        <v/>
      </c>
      <c r="V399">
        <f>IF(G399="","",Settings!$C$4+SUM($U$2:U399))</f>
        <v/>
      </c>
    </row>
    <row r="400">
      <c r="A400">
        <f>IF(G400="","",ROW()-1)</f>
        <v/>
      </c>
      <c r="B400" s="8" t="n"/>
      <c r="G400" s="3" t="n"/>
      <c r="H400" s="3" t="n"/>
      <c r="I400" s="3" t="n"/>
      <c r="J400" s="3" t="n"/>
      <c r="K400" s="3" t="n"/>
      <c r="L400" s="3" t="n"/>
      <c r="M400" s="3">
        <f>IF(G400="","",G400*H400)</f>
        <v/>
      </c>
      <c r="N400" s="3">
        <f>IF(G400="","",Settings!$C$5)</f>
        <v/>
      </c>
      <c r="O400" s="3">
        <f>IF(G400="","",IF(F400="SELL",M400*IF(E400="Equity Intraday",Settings!$C$8,Settings!$C$7),0))</f>
        <v/>
      </c>
      <c r="P400" s="3">
        <f>IF(G400="","",M400*(Settings!$C$9+Settings!$C$10))</f>
        <v/>
      </c>
      <c r="Q400" s="3">
        <f>IF(G400="","",IF(F400="BUY",M400*Settings!$C$11,0))</f>
        <v/>
      </c>
      <c r="R400" s="3">
        <f>IF(G400="","",N400*Settings!$C$6)</f>
        <v/>
      </c>
      <c r="S400" s="3">
        <f>IF(G400="","",IF(AND(F400="SELL",E400="Equity Delivery"),Settings!$C$13,0))</f>
        <v/>
      </c>
      <c r="T400" s="3">
        <f>IF(G400="","",SUM(N400:S400))</f>
        <v/>
      </c>
      <c r="U400" s="3">
        <f>IF(G400="","",IF(F400="BUY",-(M400+T400),M400-T400))</f>
        <v/>
      </c>
      <c r="V400">
        <f>IF(G400="","",Settings!$C$4+SUM($U$2:U400))</f>
        <v/>
      </c>
    </row>
    <row r="401">
      <c r="A401">
        <f>IF(G401="","",ROW()-1)</f>
        <v/>
      </c>
      <c r="B401" s="8" t="n"/>
      <c r="G401" s="3" t="n"/>
      <c r="H401" s="3" t="n"/>
      <c r="I401" s="3" t="n"/>
      <c r="J401" s="3" t="n"/>
      <c r="K401" s="3" t="n"/>
      <c r="L401" s="3" t="n"/>
      <c r="M401" s="3">
        <f>IF(G401="","",G401*H401)</f>
        <v/>
      </c>
      <c r="N401" s="3">
        <f>IF(G401="","",Settings!$C$5)</f>
        <v/>
      </c>
      <c r="O401" s="3">
        <f>IF(G401="","",IF(F401="SELL",M401*IF(E401="Equity Intraday",Settings!$C$8,Settings!$C$7),0))</f>
        <v/>
      </c>
      <c r="P401" s="3">
        <f>IF(G401="","",M401*(Settings!$C$9+Settings!$C$10))</f>
        <v/>
      </c>
      <c r="Q401" s="3">
        <f>IF(G401="","",IF(F401="BUY",M401*Settings!$C$11,0))</f>
        <v/>
      </c>
      <c r="R401" s="3">
        <f>IF(G401="","",N401*Settings!$C$6)</f>
        <v/>
      </c>
      <c r="S401" s="3">
        <f>IF(G401="","",IF(AND(F401="SELL",E401="Equity Delivery"),Settings!$C$13,0))</f>
        <v/>
      </c>
      <c r="T401" s="3">
        <f>IF(G401="","",SUM(N401:S401))</f>
        <v/>
      </c>
      <c r="U401" s="3">
        <f>IF(G401="","",IF(F401="BUY",-(M401+T401),M401-T401))</f>
        <v/>
      </c>
      <c r="V401">
        <f>IF(G401="","",Settings!$C$4+SUM($U$2:U401))</f>
        <v/>
      </c>
    </row>
    <row r="402">
      <c r="A402">
        <f>IF(G402="","",ROW()-1)</f>
        <v/>
      </c>
      <c r="B402" s="8" t="n"/>
      <c r="G402" s="3" t="n"/>
      <c r="H402" s="3" t="n"/>
      <c r="I402" s="3" t="n"/>
      <c r="J402" s="3" t="n"/>
      <c r="K402" s="3" t="n"/>
      <c r="L402" s="3" t="n"/>
      <c r="M402" s="3">
        <f>IF(G402="","",G402*H402)</f>
        <v/>
      </c>
      <c r="N402" s="3">
        <f>IF(G402="","",Settings!$C$5)</f>
        <v/>
      </c>
      <c r="O402" s="3">
        <f>IF(G402="","",IF(F402="SELL",M402*IF(E402="Equity Intraday",Settings!$C$8,Settings!$C$7),0))</f>
        <v/>
      </c>
      <c r="P402" s="3">
        <f>IF(G402="","",M402*(Settings!$C$9+Settings!$C$10))</f>
        <v/>
      </c>
      <c r="Q402" s="3">
        <f>IF(G402="","",IF(F402="BUY",M402*Settings!$C$11,0))</f>
        <v/>
      </c>
      <c r="R402" s="3">
        <f>IF(G402="","",N402*Settings!$C$6)</f>
        <v/>
      </c>
      <c r="S402" s="3">
        <f>IF(G402="","",IF(AND(F402="SELL",E402="Equity Delivery"),Settings!$C$13,0))</f>
        <v/>
      </c>
      <c r="T402" s="3">
        <f>IF(G402="","",SUM(N402:S402))</f>
        <v/>
      </c>
      <c r="U402" s="3">
        <f>IF(G402="","",IF(F402="BUY",-(M402+T402),M402-T402))</f>
        <v/>
      </c>
      <c r="V402">
        <f>IF(G402="","",Settings!$C$4+SUM($U$2:U402))</f>
        <v/>
      </c>
    </row>
    <row r="403">
      <c r="A403">
        <f>IF(G403="","",ROW()-1)</f>
        <v/>
      </c>
      <c r="B403" s="8" t="n"/>
      <c r="G403" s="3" t="n"/>
      <c r="H403" s="3" t="n"/>
      <c r="I403" s="3" t="n"/>
      <c r="J403" s="3" t="n"/>
      <c r="K403" s="3" t="n"/>
      <c r="L403" s="3" t="n"/>
      <c r="M403" s="3">
        <f>IF(G403="","",G403*H403)</f>
        <v/>
      </c>
      <c r="N403" s="3">
        <f>IF(G403="","",Settings!$C$5)</f>
        <v/>
      </c>
      <c r="O403" s="3">
        <f>IF(G403="","",IF(F403="SELL",M403*IF(E403="Equity Intraday",Settings!$C$8,Settings!$C$7),0))</f>
        <v/>
      </c>
      <c r="P403" s="3">
        <f>IF(G403="","",M403*(Settings!$C$9+Settings!$C$10))</f>
        <v/>
      </c>
      <c r="Q403" s="3">
        <f>IF(G403="","",IF(F403="BUY",M403*Settings!$C$11,0))</f>
        <v/>
      </c>
      <c r="R403" s="3">
        <f>IF(G403="","",N403*Settings!$C$6)</f>
        <v/>
      </c>
      <c r="S403" s="3">
        <f>IF(G403="","",IF(AND(F403="SELL",E403="Equity Delivery"),Settings!$C$13,0))</f>
        <v/>
      </c>
      <c r="T403" s="3">
        <f>IF(G403="","",SUM(N403:S403))</f>
        <v/>
      </c>
      <c r="U403" s="3">
        <f>IF(G403="","",IF(F403="BUY",-(M403+T403),M403-T403))</f>
        <v/>
      </c>
      <c r="V403">
        <f>IF(G403="","",Settings!$C$4+SUM($U$2:U403))</f>
        <v/>
      </c>
    </row>
    <row r="404">
      <c r="A404">
        <f>IF(G404="","",ROW()-1)</f>
        <v/>
      </c>
      <c r="B404" s="8" t="n"/>
      <c r="G404" s="3" t="n"/>
      <c r="H404" s="3" t="n"/>
      <c r="I404" s="3" t="n"/>
      <c r="J404" s="3" t="n"/>
      <c r="K404" s="3" t="n"/>
      <c r="L404" s="3" t="n"/>
      <c r="M404" s="3">
        <f>IF(G404="","",G404*H404)</f>
        <v/>
      </c>
      <c r="N404" s="3">
        <f>IF(G404="","",Settings!$C$5)</f>
        <v/>
      </c>
      <c r="O404" s="3">
        <f>IF(G404="","",IF(F404="SELL",M404*IF(E404="Equity Intraday",Settings!$C$8,Settings!$C$7),0))</f>
        <v/>
      </c>
      <c r="P404" s="3">
        <f>IF(G404="","",M404*(Settings!$C$9+Settings!$C$10))</f>
        <v/>
      </c>
      <c r="Q404" s="3">
        <f>IF(G404="","",IF(F404="BUY",M404*Settings!$C$11,0))</f>
        <v/>
      </c>
      <c r="R404" s="3">
        <f>IF(G404="","",N404*Settings!$C$6)</f>
        <v/>
      </c>
      <c r="S404" s="3">
        <f>IF(G404="","",IF(AND(F404="SELL",E404="Equity Delivery"),Settings!$C$13,0))</f>
        <v/>
      </c>
      <c r="T404" s="3">
        <f>IF(G404="","",SUM(N404:S404))</f>
        <v/>
      </c>
      <c r="U404" s="3">
        <f>IF(G404="","",IF(F404="BUY",-(M404+T404),M404-T404))</f>
        <v/>
      </c>
      <c r="V404">
        <f>IF(G404="","",Settings!$C$4+SUM($U$2:U404))</f>
        <v/>
      </c>
    </row>
    <row r="405">
      <c r="A405">
        <f>IF(G405="","",ROW()-1)</f>
        <v/>
      </c>
      <c r="B405" s="8" t="n"/>
      <c r="G405" s="3" t="n"/>
      <c r="H405" s="3" t="n"/>
      <c r="I405" s="3" t="n"/>
      <c r="J405" s="3" t="n"/>
      <c r="K405" s="3" t="n"/>
      <c r="L405" s="3" t="n"/>
      <c r="M405" s="3">
        <f>IF(G405="","",G405*H405)</f>
        <v/>
      </c>
      <c r="N405" s="3">
        <f>IF(G405="","",Settings!$C$5)</f>
        <v/>
      </c>
      <c r="O405" s="3">
        <f>IF(G405="","",IF(F405="SELL",M405*IF(E405="Equity Intraday",Settings!$C$8,Settings!$C$7),0))</f>
        <v/>
      </c>
      <c r="P405" s="3">
        <f>IF(G405="","",M405*(Settings!$C$9+Settings!$C$10))</f>
        <v/>
      </c>
      <c r="Q405" s="3">
        <f>IF(G405="","",IF(F405="BUY",M405*Settings!$C$11,0))</f>
        <v/>
      </c>
      <c r="R405" s="3">
        <f>IF(G405="","",N405*Settings!$C$6)</f>
        <v/>
      </c>
      <c r="S405" s="3">
        <f>IF(G405="","",IF(AND(F405="SELL",E405="Equity Delivery"),Settings!$C$13,0))</f>
        <v/>
      </c>
      <c r="T405" s="3">
        <f>IF(G405="","",SUM(N405:S405))</f>
        <v/>
      </c>
      <c r="U405" s="3">
        <f>IF(G405="","",IF(F405="BUY",-(M405+T405),M405-T405))</f>
        <v/>
      </c>
      <c r="V405">
        <f>IF(G405="","",Settings!$C$4+SUM($U$2:U405))</f>
        <v/>
      </c>
    </row>
    <row r="406">
      <c r="A406">
        <f>IF(G406="","",ROW()-1)</f>
        <v/>
      </c>
      <c r="B406" s="8" t="n"/>
      <c r="G406" s="3" t="n"/>
      <c r="H406" s="3" t="n"/>
      <c r="I406" s="3" t="n"/>
      <c r="J406" s="3" t="n"/>
      <c r="K406" s="3" t="n"/>
      <c r="L406" s="3" t="n"/>
      <c r="M406" s="3">
        <f>IF(G406="","",G406*H406)</f>
        <v/>
      </c>
      <c r="N406" s="3">
        <f>IF(G406="","",Settings!$C$5)</f>
        <v/>
      </c>
      <c r="O406" s="3">
        <f>IF(G406="","",IF(F406="SELL",M406*IF(E406="Equity Intraday",Settings!$C$8,Settings!$C$7),0))</f>
        <v/>
      </c>
      <c r="P406" s="3">
        <f>IF(G406="","",M406*(Settings!$C$9+Settings!$C$10))</f>
        <v/>
      </c>
      <c r="Q406" s="3">
        <f>IF(G406="","",IF(F406="BUY",M406*Settings!$C$11,0))</f>
        <v/>
      </c>
      <c r="R406" s="3">
        <f>IF(G406="","",N406*Settings!$C$6)</f>
        <v/>
      </c>
      <c r="S406" s="3">
        <f>IF(G406="","",IF(AND(F406="SELL",E406="Equity Delivery"),Settings!$C$13,0))</f>
        <v/>
      </c>
      <c r="T406" s="3">
        <f>IF(G406="","",SUM(N406:S406))</f>
        <v/>
      </c>
      <c r="U406" s="3">
        <f>IF(G406="","",IF(F406="BUY",-(M406+T406),M406-T406))</f>
        <v/>
      </c>
      <c r="V406">
        <f>IF(G406="","",Settings!$C$4+SUM($U$2:U406))</f>
        <v/>
      </c>
    </row>
    <row r="407">
      <c r="A407">
        <f>IF(G407="","",ROW()-1)</f>
        <v/>
      </c>
      <c r="B407" s="8" t="n"/>
      <c r="G407" s="3" t="n"/>
      <c r="H407" s="3" t="n"/>
      <c r="I407" s="3" t="n"/>
      <c r="J407" s="3" t="n"/>
      <c r="K407" s="3" t="n"/>
      <c r="L407" s="3" t="n"/>
      <c r="M407" s="3">
        <f>IF(G407="","",G407*H407)</f>
        <v/>
      </c>
      <c r="N407" s="3">
        <f>IF(G407="","",Settings!$C$5)</f>
        <v/>
      </c>
      <c r="O407" s="3">
        <f>IF(G407="","",IF(F407="SELL",M407*IF(E407="Equity Intraday",Settings!$C$8,Settings!$C$7),0))</f>
        <v/>
      </c>
      <c r="P407" s="3">
        <f>IF(G407="","",M407*(Settings!$C$9+Settings!$C$10))</f>
        <v/>
      </c>
      <c r="Q407" s="3">
        <f>IF(G407="","",IF(F407="BUY",M407*Settings!$C$11,0))</f>
        <v/>
      </c>
      <c r="R407" s="3">
        <f>IF(G407="","",N407*Settings!$C$6)</f>
        <v/>
      </c>
      <c r="S407" s="3">
        <f>IF(G407="","",IF(AND(F407="SELL",E407="Equity Delivery"),Settings!$C$13,0))</f>
        <v/>
      </c>
      <c r="T407" s="3">
        <f>IF(G407="","",SUM(N407:S407))</f>
        <v/>
      </c>
      <c r="U407" s="3">
        <f>IF(G407="","",IF(F407="BUY",-(M407+T407),M407-T407))</f>
        <v/>
      </c>
      <c r="V407">
        <f>IF(G407="","",Settings!$C$4+SUM($U$2:U407))</f>
        <v/>
      </c>
    </row>
    <row r="408">
      <c r="A408">
        <f>IF(G408="","",ROW()-1)</f>
        <v/>
      </c>
      <c r="B408" s="8" t="n"/>
      <c r="G408" s="3" t="n"/>
      <c r="H408" s="3" t="n"/>
      <c r="I408" s="3" t="n"/>
      <c r="J408" s="3" t="n"/>
      <c r="K408" s="3" t="n"/>
      <c r="L408" s="3" t="n"/>
      <c r="M408" s="3">
        <f>IF(G408="","",G408*H408)</f>
        <v/>
      </c>
      <c r="N408" s="3">
        <f>IF(G408="","",Settings!$C$5)</f>
        <v/>
      </c>
      <c r="O408" s="3">
        <f>IF(G408="","",IF(F408="SELL",M408*IF(E408="Equity Intraday",Settings!$C$8,Settings!$C$7),0))</f>
        <v/>
      </c>
      <c r="P408" s="3">
        <f>IF(G408="","",M408*(Settings!$C$9+Settings!$C$10))</f>
        <v/>
      </c>
      <c r="Q408" s="3">
        <f>IF(G408="","",IF(F408="BUY",M408*Settings!$C$11,0))</f>
        <v/>
      </c>
      <c r="R408" s="3">
        <f>IF(G408="","",N408*Settings!$C$6)</f>
        <v/>
      </c>
      <c r="S408" s="3">
        <f>IF(G408="","",IF(AND(F408="SELL",E408="Equity Delivery"),Settings!$C$13,0))</f>
        <v/>
      </c>
      <c r="T408" s="3">
        <f>IF(G408="","",SUM(N408:S408))</f>
        <v/>
      </c>
      <c r="U408" s="3">
        <f>IF(G408="","",IF(F408="BUY",-(M408+T408),M408-T408))</f>
        <v/>
      </c>
      <c r="V408">
        <f>IF(G408="","",Settings!$C$4+SUM($U$2:U408))</f>
        <v/>
      </c>
    </row>
    <row r="409">
      <c r="A409">
        <f>IF(G409="","",ROW()-1)</f>
        <v/>
      </c>
      <c r="B409" s="8" t="n"/>
      <c r="G409" s="3" t="n"/>
      <c r="H409" s="3" t="n"/>
      <c r="I409" s="3" t="n"/>
      <c r="J409" s="3" t="n"/>
      <c r="K409" s="3" t="n"/>
      <c r="L409" s="3" t="n"/>
      <c r="M409" s="3">
        <f>IF(G409="","",G409*H409)</f>
        <v/>
      </c>
      <c r="N409" s="3">
        <f>IF(G409="","",Settings!$C$5)</f>
        <v/>
      </c>
      <c r="O409" s="3">
        <f>IF(G409="","",IF(F409="SELL",M409*IF(E409="Equity Intraday",Settings!$C$8,Settings!$C$7),0))</f>
        <v/>
      </c>
      <c r="P409" s="3">
        <f>IF(G409="","",M409*(Settings!$C$9+Settings!$C$10))</f>
        <v/>
      </c>
      <c r="Q409" s="3">
        <f>IF(G409="","",IF(F409="BUY",M409*Settings!$C$11,0))</f>
        <v/>
      </c>
      <c r="R409" s="3">
        <f>IF(G409="","",N409*Settings!$C$6)</f>
        <v/>
      </c>
      <c r="S409" s="3">
        <f>IF(G409="","",IF(AND(F409="SELL",E409="Equity Delivery"),Settings!$C$13,0))</f>
        <v/>
      </c>
      <c r="T409" s="3">
        <f>IF(G409="","",SUM(N409:S409))</f>
        <v/>
      </c>
      <c r="U409" s="3">
        <f>IF(G409="","",IF(F409="BUY",-(M409+T409),M409-T409))</f>
        <v/>
      </c>
      <c r="V409">
        <f>IF(G409="","",Settings!$C$4+SUM($U$2:U409))</f>
        <v/>
      </c>
    </row>
    <row r="410">
      <c r="A410">
        <f>IF(G410="","",ROW()-1)</f>
        <v/>
      </c>
      <c r="B410" s="8" t="n"/>
      <c r="G410" s="3" t="n"/>
      <c r="H410" s="3" t="n"/>
      <c r="I410" s="3" t="n"/>
      <c r="J410" s="3" t="n"/>
      <c r="K410" s="3" t="n"/>
      <c r="L410" s="3" t="n"/>
      <c r="M410" s="3">
        <f>IF(G410="","",G410*H410)</f>
        <v/>
      </c>
      <c r="N410" s="3">
        <f>IF(G410="","",Settings!$C$5)</f>
        <v/>
      </c>
      <c r="O410" s="3">
        <f>IF(G410="","",IF(F410="SELL",M410*IF(E410="Equity Intraday",Settings!$C$8,Settings!$C$7),0))</f>
        <v/>
      </c>
      <c r="P410" s="3">
        <f>IF(G410="","",M410*(Settings!$C$9+Settings!$C$10))</f>
        <v/>
      </c>
      <c r="Q410" s="3">
        <f>IF(G410="","",IF(F410="BUY",M410*Settings!$C$11,0))</f>
        <v/>
      </c>
      <c r="R410" s="3">
        <f>IF(G410="","",N410*Settings!$C$6)</f>
        <v/>
      </c>
      <c r="S410" s="3">
        <f>IF(G410="","",IF(AND(F410="SELL",E410="Equity Delivery"),Settings!$C$13,0))</f>
        <v/>
      </c>
      <c r="T410" s="3">
        <f>IF(G410="","",SUM(N410:S410))</f>
        <v/>
      </c>
      <c r="U410" s="3">
        <f>IF(G410="","",IF(F410="BUY",-(M410+T410),M410-T410))</f>
        <v/>
      </c>
      <c r="V410">
        <f>IF(G410="","",Settings!$C$4+SUM($U$2:U410))</f>
        <v/>
      </c>
    </row>
    <row r="411">
      <c r="A411">
        <f>IF(G411="","",ROW()-1)</f>
        <v/>
      </c>
      <c r="B411" s="8" t="n"/>
      <c r="G411" s="3" t="n"/>
      <c r="H411" s="3" t="n"/>
      <c r="I411" s="3" t="n"/>
      <c r="J411" s="3" t="n"/>
      <c r="K411" s="3" t="n"/>
      <c r="L411" s="3" t="n"/>
      <c r="M411" s="3">
        <f>IF(G411="","",G411*H411)</f>
        <v/>
      </c>
      <c r="N411" s="3">
        <f>IF(G411="","",Settings!$C$5)</f>
        <v/>
      </c>
      <c r="O411" s="3">
        <f>IF(G411="","",IF(F411="SELL",M411*IF(E411="Equity Intraday",Settings!$C$8,Settings!$C$7),0))</f>
        <v/>
      </c>
      <c r="P411" s="3">
        <f>IF(G411="","",M411*(Settings!$C$9+Settings!$C$10))</f>
        <v/>
      </c>
      <c r="Q411" s="3">
        <f>IF(G411="","",IF(F411="BUY",M411*Settings!$C$11,0))</f>
        <v/>
      </c>
      <c r="R411" s="3">
        <f>IF(G411="","",N411*Settings!$C$6)</f>
        <v/>
      </c>
      <c r="S411" s="3">
        <f>IF(G411="","",IF(AND(F411="SELL",E411="Equity Delivery"),Settings!$C$13,0))</f>
        <v/>
      </c>
      <c r="T411" s="3">
        <f>IF(G411="","",SUM(N411:S411))</f>
        <v/>
      </c>
      <c r="U411" s="3">
        <f>IF(G411="","",IF(F411="BUY",-(M411+T411),M411-T411))</f>
        <v/>
      </c>
      <c r="V411">
        <f>IF(G411="","",Settings!$C$4+SUM($U$2:U411))</f>
        <v/>
      </c>
    </row>
    <row r="412">
      <c r="A412">
        <f>IF(G412="","",ROW()-1)</f>
        <v/>
      </c>
      <c r="B412" s="8" t="n"/>
      <c r="G412" s="3" t="n"/>
      <c r="H412" s="3" t="n"/>
      <c r="I412" s="3" t="n"/>
      <c r="J412" s="3" t="n"/>
      <c r="K412" s="3" t="n"/>
      <c r="L412" s="3" t="n"/>
      <c r="M412" s="3">
        <f>IF(G412="","",G412*H412)</f>
        <v/>
      </c>
      <c r="N412" s="3">
        <f>IF(G412="","",Settings!$C$5)</f>
        <v/>
      </c>
      <c r="O412" s="3">
        <f>IF(G412="","",IF(F412="SELL",M412*IF(E412="Equity Intraday",Settings!$C$8,Settings!$C$7),0))</f>
        <v/>
      </c>
      <c r="P412" s="3">
        <f>IF(G412="","",M412*(Settings!$C$9+Settings!$C$10))</f>
        <v/>
      </c>
      <c r="Q412" s="3">
        <f>IF(G412="","",IF(F412="BUY",M412*Settings!$C$11,0))</f>
        <v/>
      </c>
      <c r="R412" s="3">
        <f>IF(G412="","",N412*Settings!$C$6)</f>
        <v/>
      </c>
      <c r="S412" s="3">
        <f>IF(G412="","",IF(AND(F412="SELL",E412="Equity Delivery"),Settings!$C$13,0))</f>
        <v/>
      </c>
      <c r="T412" s="3">
        <f>IF(G412="","",SUM(N412:S412))</f>
        <v/>
      </c>
      <c r="U412" s="3">
        <f>IF(G412="","",IF(F412="BUY",-(M412+T412),M412-T412))</f>
        <v/>
      </c>
      <c r="V412">
        <f>IF(G412="","",Settings!$C$4+SUM($U$2:U412))</f>
        <v/>
      </c>
    </row>
    <row r="413">
      <c r="A413">
        <f>IF(G413="","",ROW()-1)</f>
        <v/>
      </c>
      <c r="B413" s="8" t="n"/>
      <c r="G413" s="3" t="n"/>
      <c r="H413" s="3" t="n"/>
      <c r="I413" s="3" t="n"/>
      <c r="J413" s="3" t="n"/>
      <c r="K413" s="3" t="n"/>
      <c r="L413" s="3" t="n"/>
      <c r="M413" s="3">
        <f>IF(G413="","",G413*H413)</f>
        <v/>
      </c>
      <c r="N413" s="3">
        <f>IF(G413="","",Settings!$C$5)</f>
        <v/>
      </c>
      <c r="O413" s="3">
        <f>IF(G413="","",IF(F413="SELL",M413*IF(E413="Equity Intraday",Settings!$C$8,Settings!$C$7),0))</f>
        <v/>
      </c>
      <c r="P413" s="3">
        <f>IF(G413="","",M413*(Settings!$C$9+Settings!$C$10))</f>
        <v/>
      </c>
      <c r="Q413" s="3">
        <f>IF(G413="","",IF(F413="BUY",M413*Settings!$C$11,0))</f>
        <v/>
      </c>
      <c r="R413" s="3">
        <f>IF(G413="","",N413*Settings!$C$6)</f>
        <v/>
      </c>
      <c r="S413" s="3">
        <f>IF(G413="","",IF(AND(F413="SELL",E413="Equity Delivery"),Settings!$C$13,0))</f>
        <v/>
      </c>
      <c r="T413" s="3">
        <f>IF(G413="","",SUM(N413:S413))</f>
        <v/>
      </c>
      <c r="U413" s="3">
        <f>IF(G413="","",IF(F413="BUY",-(M413+T413),M413-T413))</f>
        <v/>
      </c>
      <c r="V413">
        <f>IF(G413="","",Settings!$C$4+SUM($U$2:U413))</f>
        <v/>
      </c>
    </row>
    <row r="414">
      <c r="A414">
        <f>IF(G414="","",ROW()-1)</f>
        <v/>
      </c>
      <c r="B414" s="8" t="n"/>
      <c r="G414" s="3" t="n"/>
      <c r="H414" s="3" t="n"/>
      <c r="I414" s="3" t="n"/>
      <c r="J414" s="3" t="n"/>
      <c r="K414" s="3" t="n"/>
      <c r="L414" s="3" t="n"/>
      <c r="M414" s="3">
        <f>IF(G414="","",G414*H414)</f>
        <v/>
      </c>
      <c r="N414" s="3">
        <f>IF(G414="","",Settings!$C$5)</f>
        <v/>
      </c>
      <c r="O414" s="3">
        <f>IF(G414="","",IF(F414="SELL",M414*IF(E414="Equity Intraday",Settings!$C$8,Settings!$C$7),0))</f>
        <v/>
      </c>
      <c r="P414" s="3">
        <f>IF(G414="","",M414*(Settings!$C$9+Settings!$C$10))</f>
        <v/>
      </c>
      <c r="Q414" s="3">
        <f>IF(G414="","",IF(F414="BUY",M414*Settings!$C$11,0))</f>
        <v/>
      </c>
      <c r="R414" s="3">
        <f>IF(G414="","",N414*Settings!$C$6)</f>
        <v/>
      </c>
      <c r="S414" s="3">
        <f>IF(G414="","",IF(AND(F414="SELL",E414="Equity Delivery"),Settings!$C$13,0))</f>
        <v/>
      </c>
      <c r="T414" s="3">
        <f>IF(G414="","",SUM(N414:S414))</f>
        <v/>
      </c>
      <c r="U414" s="3">
        <f>IF(G414="","",IF(F414="BUY",-(M414+T414),M414-T414))</f>
        <v/>
      </c>
      <c r="V414">
        <f>IF(G414="","",Settings!$C$4+SUM($U$2:U414))</f>
        <v/>
      </c>
    </row>
    <row r="415">
      <c r="A415">
        <f>IF(G415="","",ROW()-1)</f>
        <v/>
      </c>
      <c r="B415" s="8" t="n"/>
      <c r="G415" s="3" t="n"/>
      <c r="H415" s="3" t="n"/>
      <c r="I415" s="3" t="n"/>
      <c r="J415" s="3" t="n"/>
      <c r="K415" s="3" t="n"/>
      <c r="L415" s="3" t="n"/>
      <c r="M415" s="3">
        <f>IF(G415="","",G415*H415)</f>
        <v/>
      </c>
      <c r="N415" s="3">
        <f>IF(G415="","",Settings!$C$5)</f>
        <v/>
      </c>
      <c r="O415" s="3">
        <f>IF(G415="","",IF(F415="SELL",M415*IF(E415="Equity Intraday",Settings!$C$8,Settings!$C$7),0))</f>
        <v/>
      </c>
      <c r="P415" s="3">
        <f>IF(G415="","",M415*(Settings!$C$9+Settings!$C$10))</f>
        <v/>
      </c>
      <c r="Q415" s="3">
        <f>IF(G415="","",IF(F415="BUY",M415*Settings!$C$11,0))</f>
        <v/>
      </c>
      <c r="R415" s="3">
        <f>IF(G415="","",N415*Settings!$C$6)</f>
        <v/>
      </c>
      <c r="S415" s="3">
        <f>IF(G415="","",IF(AND(F415="SELL",E415="Equity Delivery"),Settings!$C$13,0))</f>
        <v/>
      </c>
      <c r="T415" s="3">
        <f>IF(G415="","",SUM(N415:S415))</f>
        <v/>
      </c>
      <c r="U415" s="3">
        <f>IF(G415="","",IF(F415="BUY",-(M415+T415),M415-T415))</f>
        <v/>
      </c>
      <c r="V415">
        <f>IF(G415="","",Settings!$C$4+SUM($U$2:U415))</f>
        <v/>
      </c>
    </row>
    <row r="416">
      <c r="A416">
        <f>IF(G416="","",ROW()-1)</f>
        <v/>
      </c>
      <c r="B416" s="8" t="n"/>
      <c r="G416" s="3" t="n"/>
      <c r="H416" s="3" t="n"/>
      <c r="I416" s="3" t="n"/>
      <c r="J416" s="3" t="n"/>
      <c r="K416" s="3" t="n"/>
      <c r="L416" s="3" t="n"/>
      <c r="M416" s="3">
        <f>IF(G416="","",G416*H416)</f>
        <v/>
      </c>
      <c r="N416" s="3">
        <f>IF(G416="","",Settings!$C$5)</f>
        <v/>
      </c>
      <c r="O416" s="3">
        <f>IF(G416="","",IF(F416="SELL",M416*IF(E416="Equity Intraday",Settings!$C$8,Settings!$C$7),0))</f>
        <v/>
      </c>
      <c r="P416" s="3">
        <f>IF(G416="","",M416*(Settings!$C$9+Settings!$C$10))</f>
        <v/>
      </c>
      <c r="Q416" s="3">
        <f>IF(G416="","",IF(F416="BUY",M416*Settings!$C$11,0))</f>
        <v/>
      </c>
      <c r="R416" s="3">
        <f>IF(G416="","",N416*Settings!$C$6)</f>
        <v/>
      </c>
      <c r="S416" s="3">
        <f>IF(G416="","",IF(AND(F416="SELL",E416="Equity Delivery"),Settings!$C$13,0))</f>
        <v/>
      </c>
      <c r="T416" s="3">
        <f>IF(G416="","",SUM(N416:S416))</f>
        <v/>
      </c>
      <c r="U416" s="3">
        <f>IF(G416="","",IF(F416="BUY",-(M416+T416),M416-T416))</f>
        <v/>
      </c>
      <c r="V416">
        <f>IF(G416="","",Settings!$C$4+SUM($U$2:U416))</f>
        <v/>
      </c>
    </row>
    <row r="417">
      <c r="A417">
        <f>IF(G417="","",ROW()-1)</f>
        <v/>
      </c>
      <c r="B417" s="8" t="n"/>
      <c r="G417" s="3" t="n"/>
      <c r="H417" s="3" t="n"/>
      <c r="I417" s="3" t="n"/>
      <c r="J417" s="3" t="n"/>
      <c r="K417" s="3" t="n"/>
      <c r="L417" s="3" t="n"/>
      <c r="M417" s="3">
        <f>IF(G417="","",G417*H417)</f>
        <v/>
      </c>
      <c r="N417" s="3">
        <f>IF(G417="","",Settings!$C$5)</f>
        <v/>
      </c>
      <c r="O417" s="3">
        <f>IF(G417="","",IF(F417="SELL",M417*IF(E417="Equity Intraday",Settings!$C$8,Settings!$C$7),0))</f>
        <v/>
      </c>
      <c r="P417" s="3">
        <f>IF(G417="","",M417*(Settings!$C$9+Settings!$C$10))</f>
        <v/>
      </c>
      <c r="Q417" s="3">
        <f>IF(G417="","",IF(F417="BUY",M417*Settings!$C$11,0))</f>
        <v/>
      </c>
      <c r="R417" s="3">
        <f>IF(G417="","",N417*Settings!$C$6)</f>
        <v/>
      </c>
      <c r="S417" s="3">
        <f>IF(G417="","",IF(AND(F417="SELL",E417="Equity Delivery"),Settings!$C$13,0))</f>
        <v/>
      </c>
      <c r="T417" s="3">
        <f>IF(G417="","",SUM(N417:S417))</f>
        <v/>
      </c>
      <c r="U417" s="3">
        <f>IF(G417="","",IF(F417="BUY",-(M417+T417),M417-T417))</f>
        <v/>
      </c>
      <c r="V417">
        <f>IF(G417="","",Settings!$C$4+SUM($U$2:U417))</f>
        <v/>
      </c>
    </row>
    <row r="418">
      <c r="A418">
        <f>IF(G418="","",ROW()-1)</f>
        <v/>
      </c>
      <c r="B418" s="8" t="n"/>
      <c r="G418" s="3" t="n"/>
      <c r="H418" s="3" t="n"/>
      <c r="I418" s="3" t="n"/>
      <c r="J418" s="3" t="n"/>
      <c r="K418" s="3" t="n"/>
      <c r="L418" s="3" t="n"/>
      <c r="M418" s="3">
        <f>IF(G418="","",G418*H418)</f>
        <v/>
      </c>
      <c r="N418" s="3">
        <f>IF(G418="","",Settings!$C$5)</f>
        <v/>
      </c>
      <c r="O418" s="3">
        <f>IF(G418="","",IF(F418="SELL",M418*IF(E418="Equity Intraday",Settings!$C$8,Settings!$C$7),0))</f>
        <v/>
      </c>
      <c r="P418" s="3">
        <f>IF(G418="","",M418*(Settings!$C$9+Settings!$C$10))</f>
        <v/>
      </c>
      <c r="Q418" s="3">
        <f>IF(G418="","",IF(F418="BUY",M418*Settings!$C$11,0))</f>
        <v/>
      </c>
      <c r="R418" s="3">
        <f>IF(G418="","",N418*Settings!$C$6)</f>
        <v/>
      </c>
      <c r="S418" s="3">
        <f>IF(G418="","",IF(AND(F418="SELL",E418="Equity Delivery"),Settings!$C$13,0))</f>
        <v/>
      </c>
      <c r="T418" s="3">
        <f>IF(G418="","",SUM(N418:S418))</f>
        <v/>
      </c>
      <c r="U418" s="3">
        <f>IF(G418="","",IF(F418="BUY",-(M418+T418),M418-T418))</f>
        <v/>
      </c>
      <c r="V418">
        <f>IF(G418="","",Settings!$C$4+SUM($U$2:U418))</f>
        <v/>
      </c>
    </row>
    <row r="419">
      <c r="A419">
        <f>IF(G419="","",ROW()-1)</f>
        <v/>
      </c>
      <c r="B419" s="8" t="n"/>
      <c r="G419" s="3" t="n"/>
      <c r="H419" s="3" t="n"/>
      <c r="I419" s="3" t="n"/>
      <c r="J419" s="3" t="n"/>
      <c r="K419" s="3" t="n"/>
      <c r="L419" s="3" t="n"/>
      <c r="M419" s="3">
        <f>IF(G419="","",G419*H419)</f>
        <v/>
      </c>
      <c r="N419" s="3">
        <f>IF(G419="","",Settings!$C$5)</f>
        <v/>
      </c>
      <c r="O419" s="3">
        <f>IF(G419="","",IF(F419="SELL",M419*IF(E419="Equity Intraday",Settings!$C$8,Settings!$C$7),0))</f>
        <v/>
      </c>
      <c r="P419" s="3">
        <f>IF(G419="","",M419*(Settings!$C$9+Settings!$C$10))</f>
        <v/>
      </c>
      <c r="Q419" s="3">
        <f>IF(G419="","",IF(F419="BUY",M419*Settings!$C$11,0))</f>
        <v/>
      </c>
      <c r="R419" s="3">
        <f>IF(G419="","",N419*Settings!$C$6)</f>
        <v/>
      </c>
      <c r="S419" s="3">
        <f>IF(G419="","",IF(AND(F419="SELL",E419="Equity Delivery"),Settings!$C$13,0))</f>
        <v/>
      </c>
      <c r="T419" s="3">
        <f>IF(G419="","",SUM(N419:S419))</f>
        <v/>
      </c>
      <c r="U419" s="3">
        <f>IF(G419="","",IF(F419="BUY",-(M419+T419),M419-T419))</f>
        <v/>
      </c>
      <c r="V419">
        <f>IF(G419="","",Settings!$C$4+SUM($U$2:U419))</f>
        <v/>
      </c>
    </row>
    <row r="420">
      <c r="A420">
        <f>IF(G420="","",ROW()-1)</f>
        <v/>
      </c>
      <c r="B420" s="8" t="n"/>
      <c r="G420" s="3" t="n"/>
      <c r="H420" s="3" t="n"/>
      <c r="I420" s="3" t="n"/>
      <c r="J420" s="3" t="n"/>
      <c r="K420" s="3" t="n"/>
      <c r="L420" s="3" t="n"/>
      <c r="M420" s="3">
        <f>IF(G420="","",G420*H420)</f>
        <v/>
      </c>
      <c r="N420" s="3">
        <f>IF(G420="","",Settings!$C$5)</f>
        <v/>
      </c>
      <c r="O420" s="3">
        <f>IF(G420="","",IF(F420="SELL",M420*IF(E420="Equity Intraday",Settings!$C$8,Settings!$C$7),0))</f>
        <v/>
      </c>
      <c r="P420" s="3">
        <f>IF(G420="","",M420*(Settings!$C$9+Settings!$C$10))</f>
        <v/>
      </c>
      <c r="Q420" s="3">
        <f>IF(G420="","",IF(F420="BUY",M420*Settings!$C$11,0))</f>
        <v/>
      </c>
      <c r="R420" s="3">
        <f>IF(G420="","",N420*Settings!$C$6)</f>
        <v/>
      </c>
      <c r="S420" s="3">
        <f>IF(G420="","",IF(AND(F420="SELL",E420="Equity Delivery"),Settings!$C$13,0))</f>
        <v/>
      </c>
      <c r="T420" s="3">
        <f>IF(G420="","",SUM(N420:S420))</f>
        <v/>
      </c>
      <c r="U420" s="3">
        <f>IF(G420="","",IF(F420="BUY",-(M420+T420),M420-T420))</f>
        <v/>
      </c>
      <c r="V420">
        <f>IF(G420="","",Settings!$C$4+SUM($U$2:U420))</f>
        <v/>
      </c>
    </row>
    <row r="421">
      <c r="A421">
        <f>IF(G421="","",ROW()-1)</f>
        <v/>
      </c>
      <c r="B421" s="8" t="n"/>
      <c r="G421" s="3" t="n"/>
      <c r="H421" s="3" t="n"/>
      <c r="I421" s="3" t="n"/>
      <c r="J421" s="3" t="n"/>
      <c r="K421" s="3" t="n"/>
      <c r="L421" s="3" t="n"/>
      <c r="M421" s="3">
        <f>IF(G421="","",G421*H421)</f>
        <v/>
      </c>
      <c r="N421" s="3">
        <f>IF(G421="","",Settings!$C$5)</f>
        <v/>
      </c>
      <c r="O421" s="3">
        <f>IF(G421="","",IF(F421="SELL",M421*IF(E421="Equity Intraday",Settings!$C$8,Settings!$C$7),0))</f>
        <v/>
      </c>
      <c r="P421" s="3">
        <f>IF(G421="","",M421*(Settings!$C$9+Settings!$C$10))</f>
        <v/>
      </c>
      <c r="Q421" s="3">
        <f>IF(G421="","",IF(F421="BUY",M421*Settings!$C$11,0))</f>
        <v/>
      </c>
      <c r="R421" s="3">
        <f>IF(G421="","",N421*Settings!$C$6)</f>
        <v/>
      </c>
      <c r="S421" s="3">
        <f>IF(G421="","",IF(AND(F421="SELL",E421="Equity Delivery"),Settings!$C$13,0))</f>
        <v/>
      </c>
      <c r="T421" s="3">
        <f>IF(G421="","",SUM(N421:S421))</f>
        <v/>
      </c>
      <c r="U421" s="3">
        <f>IF(G421="","",IF(F421="BUY",-(M421+T421),M421-T421))</f>
        <v/>
      </c>
      <c r="V421">
        <f>IF(G421="","",Settings!$C$4+SUM($U$2:U421))</f>
        <v/>
      </c>
    </row>
    <row r="422">
      <c r="A422">
        <f>IF(G422="","",ROW()-1)</f>
        <v/>
      </c>
      <c r="B422" s="8" t="n"/>
      <c r="G422" s="3" t="n"/>
      <c r="H422" s="3" t="n"/>
      <c r="I422" s="3" t="n"/>
      <c r="J422" s="3" t="n"/>
      <c r="K422" s="3" t="n"/>
      <c r="L422" s="3" t="n"/>
      <c r="M422" s="3">
        <f>IF(G422="","",G422*H422)</f>
        <v/>
      </c>
      <c r="N422" s="3">
        <f>IF(G422="","",Settings!$C$5)</f>
        <v/>
      </c>
      <c r="O422" s="3">
        <f>IF(G422="","",IF(F422="SELL",M422*IF(E422="Equity Intraday",Settings!$C$8,Settings!$C$7),0))</f>
        <v/>
      </c>
      <c r="P422" s="3">
        <f>IF(G422="","",M422*(Settings!$C$9+Settings!$C$10))</f>
        <v/>
      </c>
      <c r="Q422" s="3">
        <f>IF(G422="","",IF(F422="BUY",M422*Settings!$C$11,0))</f>
        <v/>
      </c>
      <c r="R422" s="3">
        <f>IF(G422="","",N422*Settings!$C$6)</f>
        <v/>
      </c>
      <c r="S422" s="3">
        <f>IF(G422="","",IF(AND(F422="SELL",E422="Equity Delivery"),Settings!$C$13,0))</f>
        <v/>
      </c>
      <c r="T422" s="3">
        <f>IF(G422="","",SUM(N422:S422))</f>
        <v/>
      </c>
      <c r="U422" s="3">
        <f>IF(G422="","",IF(F422="BUY",-(M422+T422),M422-T422))</f>
        <v/>
      </c>
      <c r="V422">
        <f>IF(G422="","",Settings!$C$4+SUM($U$2:U422))</f>
        <v/>
      </c>
    </row>
    <row r="423">
      <c r="A423">
        <f>IF(G423="","",ROW()-1)</f>
        <v/>
      </c>
      <c r="B423" s="8" t="n"/>
      <c r="G423" s="3" t="n"/>
      <c r="H423" s="3" t="n"/>
      <c r="I423" s="3" t="n"/>
      <c r="J423" s="3" t="n"/>
      <c r="K423" s="3" t="n"/>
      <c r="L423" s="3" t="n"/>
      <c r="M423" s="3">
        <f>IF(G423="","",G423*H423)</f>
        <v/>
      </c>
      <c r="N423" s="3">
        <f>IF(G423="","",Settings!$C$5)</f>
        <v/>
      </c>
      <c r="O423" s="3">
        <f>IF(G423="","",IF(F423="SELL",M423*IF(E423="Equity Intraday",Settings!$C$8,Settings!$C$7),0))</f>
        <v/>
      </c>
      <c r="P423" s="3">
        <f>IF(G423="","",M423*(Settings!$C$9+Settings!$C$10))</f>
        <v/>
      </c>
      <c r="Q423" s="3">
        <f>IF(G423="","",IF(F423="BUY",M423*Settings!$C$11,0))</f>
        <v/>
      </c>
      <c r="R423" s="3">
        <f>IF(G423="","",N423*Settings!$C$6)</f>
        <v/>
      </c>
      <c r="S423" s="3">
        <f>IF(G423="","",IF(AND(F423="SELL",E423="Equity Delivery"),Settings!$C$13,0))</f>
        <v/>
      </c>
      <c r="T423" s="3">
        <f>IF(G423="","",SUM(N423:S423))</f>
        <v/>
      </c>
      <c r="U423" s="3">
        <f>IF(G423="","",IF(F423="BUY",-(M423+T423),M423-T423))</f>
        <v/>
      </c>
      <c r="V423">
        <f>IF(G423="","",Settings!$C$4+SUM($U$2:U423))</f>
        <v/>
      </c>
    </row>
    <row r="424">
      <c r="A424">
        <f>IF(G424="","",ROW()-1)</f>
        <v/>
      </c>
      <c r="B424" s="8" t="n"/>
      <c r="G424" s="3" t="n"/>
      <c r="H424" s="3" t="n"/>
      <c r="I424" s="3" t="n"/>
      <c r="J424" s="3" t="n"/>
      <c r="K424" s="3" t="n"/>
      <c r="L424" s="3" t="n"/>
      <c r="M424" s="3">
        <f>IF(G424="","",G424*H424)</f>
        <v/>
      </c>
      <c r="N424" s="3">
        <f>IF(G424="","",Settings!$C$5)</f>
        <v/>
      </c>
      <c r="O424" s="3">
        <f>IF(G424="","",IF(F424="SELL",M424*IF(E424="Equity Intraday",Settings!$C$8,Settings!$C$7),0))</f>
        <v/>
      </c>
      <c r="P424" s="3">
        <f>IF(G424="","",M424*(Settings!$C$9+Settings!$C$10))</f>
        <v/>
      </c>
      <c r="Q424" s="3">
        <f>IF(G424="","",IF(F424="BUY",M424*Settings!$C$11,0))</f>
        <v/>
      </c>
      <c r="R424" s="3">
        <f>IF(G424="","",N424*Settings!$C$6)</f>
        <v/>
      </c>
      <c r="S424" s="3">
        <f>IF(G424="","",IF(AND(F424="SELL",E424="Equity Delivery"),Settings!$C$13,0))</f>
        <v/>
      </c>
      <c r="T424" s="3">
        <f>IF(G424="","",SUM(N424:S424))</f>
        <v/>
      </c>
      <c r="U424" s="3">
        <f>IF(G424="","",IF(F424="BUY",-(M424+T424),M424-T424))</f>
        <v/>
      </c>
      <c r="V424">
        <f>IF(G424="","",Settings!$C$4+SUM($U$2:U424))</f>
        <v/>
      </c>
    </row>
    <row r="425">
      <c r="A425">
        <f>IF(G425="","",ROW()-1)</f>
        <v/>
      </c>
      <c r="B425" s="8" t="n"/>
      <c r="G425" s="3" t="n"/>
      <c r="H425" s="3" t="n"/>
      <c r="I425" s="3" t="n"/>
      <c r="J425" s="3" t="n"/>
      <c r="K425" s="3" t="n"/>
      <c r="L425" s="3" t="n"/>
      <c r="M425" s="3">
        <f>IF(G425="","",G425*H425)</f>
        <v/>
      </c>
      <c r="N425" s="3">
        <f>IF(G425="","",Settings!$C$5)</f>
        <v/>
      </c>
      <c r="O425" s="3">
        <f>IF(G425="","",IF(F425="SELL",M425*IF(E425="Equity Intraday",Settings!$C$8,Settings!$C$7),0))</f>
        <v/>
      </c>
      <c r="P425" s="3">
        <f>IF(G425="","",M425*(Settings!$C$9+Settings!$C$10))</f>
        <v/>
      </c>
      <c r="Q425" s="3">
        <f>IF(G425="","",IF(F425="BUY",M425*Settings!$C$11,0))</f>
        <v/>
      </c>
      <c r="R425" s="3">
        <f>IF(G425="","",N425*Settings!$C$6)</f>
        <v/>
      </c>
      <c r="S425" s="3">
        <f>IF(G425="","",IF(AND(F425="SELL",E425="Equity Delivery"),Settings!$C$13,0))</f>
        <v/>
      </c>
      <c r="T425" s="3">
        <f>IF(G425="","",SUM(N425:S425))</f>
        <v/>
      </c>
      <c r="U425" s="3">
        <f>IF(G425="","",IF(F425="BUY",-(M425+T425),M425-T425))</f>
        <v/>
      </c>
      <c r="V425">
        <f>IF(G425="","",Settings!$C$4+SUM($U$2:U425))</f>
        <v/>
      </c>
    </row>
    <row r="426">
      <c r="A426">
        <f>IF(G426="","",ROW()-1)</f>
        <v/>
      </c>
      <c r="B426" s="8" t="n"/>
      <c r="G426" s="3" t="n"/>
      <c r="H426" s="3" t="n"/>
      <c r="I426" s="3" t="n"/>
      <c r="J426" s="3" t="n"/>
      <c r="K426" s="3" t="n"/>
      <c r="L426" s="3" t="n"/>
      <c r="M426" s="3">
        <f>IF(G426="","",G426*H426)</f>
        <v/>
      </c>
      <c r="N426" s="3">
        <f>IF(G426="","",Settings!$C$5)</f>
        <v/>
      </c>
      <c r="O426" s="3">
        <f>IF(G426="","",IF(F426="SELL",M426*IF(E426="Equity Intraday",Settings!$C$8,Settings!$C$7),0))</f>
        <v/>
      </c>
      <c r="P426" s="3">
        <f>IF(G426="","",M426*(Settings!$C$9+Settings!$C$10))</f>
        <v/>
      </c>
      <c r="Q426" s="3">
        <f>IF(G426="","",IF(F426="BUY",M426*Settings!$C$11,0))</f>
        <v/>
      </c>
      <c r="R426" s="3">
        <f>IF(G426="","",N426*Settings!$C$6)</f>
        <v/>
      </c>
      <c r="S426" s="3">
        <f>IF(G426="","",IF(AND(F426="SELL",E426="Equity Delivery"),Settings!$C$13,0))</f>
        <v/>
      </c>
      <c r="T426" s="3">
        <f>IF(G426="","",SUM(N426:S426))</f>
        <v/>
      </c>
      <c r="U426" s="3">
        <f>IF(G426="","",IF(F426="BUY",-(M426+T426),M426-T426))</f>
        <v/>
      </c>
      <c r="V426">
        <f>IF(G426="","",Settings!$C$4+SUM($U$2:U426))</f>
        <v/>
      </c>
    </row>
    <row r="427">
      <c r="A427">
        <f>IF(G427="","",ROW()-1)</f>
        <v/>
      </c>
      <c r="B427" s="8" t="n"/>
      <c r="G427" s="3" t="n"/>
      <c r="H427" s="3" t="n"/>
      <c r="I427" s="3" t="n"/>
      <c r="J427" s="3" t="n"/>
      <c r="K427" s="3" t="n"/>
      <c r="L427" s="3" t="n"/>
      <c r="M427" s="3">
        <f>IF(G427="","",G427*H427)</f>
        <v/>
      </c>
      <c r="N427" s="3">
        <f>IF(G427="","",Settings!$C$5)</f>
        <v/>
      </c>
      <c r="O427" s="3">
        <f>IF(G427="","",IF(F427="SELL",M427*IF(E427="Equity Intraday",Settings!$C$8,Settings!$C$7),0))</f>
        <v/>
      </c>
      <c r="P427" s="3">
        <f>IF(G427="","",M427*(Settings!$C$9+Settings!$C$10))</f>
        <v/>
      </c>
      <c r="Q427" s="3">
        <f>IF(G427="","",IF(F427="BUY",M427*Settings!$C$11,0))</f>
        <v/>
      </c>
      <c r="R427" s="3">
        <f>IF(G427="","",N427*Settings!$C$6)</f>
        <v/>
      </c>
      <c r="S427" s="3">
        <f>IF(G427="","",IF(AND(F427="SELL",E427="Equity Delivery"),Settings!$C$13,0))</f>
        <v/>
      </c>
      <c r="T427" s="3">
        <f>IF(G427="","",SUM(N427:S427))</f>
        <v/>
      </c>
      <c r="U427" s="3">
        <f>IF(G427="","",IF(F427="BUY",-(M427+T427),M427-T427))</f>
        <v/>
      </c>
      <c r="V427">
        <f>IF(G427="","",Settings!$C$4+SUM($U$2:U427))</f>
        <v/>
      </c>
    </row>
    <row r="428">
      <c r="A428">
        <f>IF(G428="","",ROW()-1)</f>
        <v/>
      </c>
      <c r="B428" s="8" t="n"/>
      <c r="G428" s="3" t="n"/>
      <c r="H428" s="3" t="n"/>
      <c r="I428" s="3" t="n"/>
      <c r="J428" s="3" t="n"/>
      <c r="K428" s="3" t="n"/>
      <c r="L428" s="3" t="n"/>
      <c r="M428" s="3">
        <f>IF(G428="","",G428*H428)</f>
        <v/>
      </c>
      <c r="N428" s="3">
        <f>IF(G428="","",Settings!$C$5)</f>
        <v/>
      </c>
      <c r="O428" s="3">
        <f>IF(G428="","",IF(F428="SELL",M428*IF(E428="Equity Intraday",Settings!$C$8,Settings!$C$7),0))</f>
        <v/>
      </c>
      <c r="P428" s="3">
        <f>IF(G428="","",M428*(Settings!$C$9+Settings!$C$10))</f>
        <v/>
      </c>
      <c r="Q428" s="3">
        <f>IF(G428="","",IF(F428="BUY",M428*Settings!$C$11,0))</f>
        <v/>
      </c>
      <c r="R428" s="3">
        <f>IF(G428="","",N428*Settings!$C$6)</f>
        <v/>
      </c>
      <c r="S428" s="3">
        <f>IF(G428="","",IF(AND(F428="SELL",E428="Equity Delivery"),Settings!$C$13,0))</f>
        <v/>
      </c>
      <c r="T428" s="3">
        <f>IF(G428="","",SUM(N428:S428))</f>
        <v/>
      </c>
      <c r="U428" s="3">
        <f>IF(G428="","",IF(F428="BUY",-(M428+T428),M428-T428))</f>
        <v/>
      </c>
      <c r="V428">
        <f>IF(G428="","",Settings!$C$4+SUM($U$2:U428))</f>
        <v/>
      </c>
    </row>
    <row r="429">
      <c r="A429">
        <f>IF(G429="","",ROW()-1)</f>
        <v/>
      </c>
      <c r="B429" s="8" t="n"/>
      <c r="G429" s="3" t="n"/>
      <c r="H429" s="3" t="n"/>
      <c r="I429" s="3" t="n"/>
      <c r="J429" s="3" t="n"/>
      <c r="K429" s="3" t="n"/>
      <c r="L429" s="3" t="n"/>
      <c r="M429" s="3">
        <f>IF(G429="","",G429*H429)</f>
        <v/>
      </c>
      <c r="N429" s="3">
        <f>IF(G429="","",Settings!$C$5)</f>
        <v/>
      </c>
      <c r="O429" s="3">
        <f>IF(G429="","",IF(F429="SELL",M429*IF(E429="Equity Intraday",Settings!$C$8,Settings!$C$7),0))</f>
        <v/>
      </c>
      <c r="P429" s="3">
        <f>IF(G429="","",M429*(Settings!$C$9+Settings!$C$10))</f>
        <v/>
      </c>
      <c r="Q429" s="3">
        <f>IF(G429="","",IF(F429="BUY",M429*Settings!$C$11,0))</f>
        <v/>
      </c>
      <c r="R429" s="3">
        <f>IF(G429="","",N429*Settings!$C$6)</f>
        <v/>
      </c>
      <c r="S429" s="3">
        <f>IF(G429="","",IF(AND(F429="SELL",E429="Equity Delivery"),Settings!$C$13,0))</f>
        <v/>
      </c>
      <c r="T429" s="3">
        <f>IF(G429="","",SUM(N429:S429))</f>
        <v/>
      </c>
      <c r="U429" s="3">
        <f>IF(G429="","",IF(F429="BUY",-(M429+T429),M429-T429))</f>
        <v/>
      </c>
      <c r="V429">
        <f>IF(G429="","",Settings!$C$4+SUM($U$2:U429))</f>
        <v/>
      </c>
    </row>
    <row r="430">
      <c r="A430">
        <f>IF(G430="","",ROW()-1)</f>
        <v/>
      </c>
      <c r="B430" s="8" t="n"/>
      <c r="G430" s="3" t="n"/>
      <c r="H430" s="3" t="n"/>
      <c r="I430" s="3" t="n"/>
      <c r="J430" s="3" t="n"/>
      <c r="K430" s="3" t="n"/>
      <c r="L430" s="3" t="n"/>
      <c r="M430" s="3">
        <f>IF(G430="","",G430*H430)</f>
        <v/>
      </c>
      <c r="N430" s="3">
        <f>IF(G430="","",Settings!$C$5)</f>
        <v/>
      </c>
      <c r="O430" s="3">
        <f>IF(G430="","",IF(F430="SELL",M430*IF(E430="Equity Intraday",Settings!$C$8,Settings!$C$7),0))</f>
        <v/>
      </c>
      <c r="P430" s="3">
        <f>IF(G430="","",M430*(Settings!$C$9+Settings!$C$10))</f>
        <v/>
      </c>
      <c r="Q430" s="3">
        <f>IF(G430="","",IF(F430="BUY",M430*Settings!$C$11,0))</f>
        <v/>
      </c>
      <c r="R430" s="3">
        <f>IF(G430="","",N430*Settings!$C$6)</f>
        <v/>
      </c>
      <c r="S430" s="3">
        <f>IF(G430="","",IF(AND(F430="SELL",E430="Equity Delivery"),Settings!$C$13,0))</f>
        <v/>
      </c>
      <c r="T430" s="3">
        <f>IF(G430="","",SUM(N430:S430))</f>
        <v/>
      </c>
      <c r="U430" s="3">
        <f>IF(G430="","",IF(F430="BUY",-(M430+T430),M430-T430))</f>
        <v/>
      </c>
      <c r="V430">
        <f>IF(G430="","",Settings!$C$4+SUM($U$2:U430))</f>
        <v/>
      </c>
    </row>
    <row r="431">
      <c r="A431">
        <f>IF(G431="","",ROW()-1)</f>
        <v/>
      </c>
      <c r="B431" s="8" t="n"/>
      <c r="G431" s="3" t="n"/>
      <c r="H431" s="3" t="n"/>
      <c r="I431" s="3" t="n"/>
      <c r="J431" s="3" t="n"/>
      <c r="K431" s="3" t="n"/>
      <c r="L431" s="3" t="n"/>
      <c r="M431" s="3">
        <f>IF(G431="","",G431*H431)</f>
        <v/>
      </c>
      <c r="N431" s="3">
        <f>IF(G431="","",Settings!$C$5)</f>
        <v/>
      </c>
      <c r="O431" s="3">
        <f>IF(G431="","",IF(F431="SELL",M431*IF(E431="Equity Intraday",Settings!$C$8,Settings!$C$7),0))</f>
        <v/>
      </c>
      <c r="P431" s="3">
        <f>IF(G431="","",M431*(Settings!$C$9+Settings!$C$10))</f>
        <v/>
      </c>
      <c r="Q431" s="3">
        <f>IF(G431="","",IF(F431="BUY",M431*Settings!$C$11,0))</f>
        <v/>
      </c>
      <c r="R431" s="3">
        <f>IF(G431="","",N431*Settings!$C$6)</f>
        <v/>
      </c>
      <c r="S431" s="3">
        <f>IF(G431="","",IF(AND(F431="SELL",E431="Equity Delivery"),Settings!$C$13,0))</f>
        <v/>
      </c>
      <c r="T431" s="3">
        <f>IF(G431="","",SUM(N431:S431))</f>
        <v/>
      </c>
      <c r="U431" s="3">
        <f>IF(G431="","",IF(F431="BUY",-(M431+T431),M431-T431))</f>
        <v/>
      </c>
      <c r="V431">
        <f>IF(G431="","",Settings!$C$4+SUM($U$2:U431))</f>
        <v/>
      </c>
    </row>
    <row r="432">
      <c r="A432">
        <f>IF(G432="","",ROW()-1)</f>
        <v/>
      </c>
      <c r="B432" s="8" t="n"/>
      <c r="G432" s="3" t="n"/>
      <c r="H432" s="3" t="n"/>
      <c r="I432" s="3" t="n"/>
      <c r="J432" s="3" t="n"/>
      <c r="K432" s="3" t="n"/>
      <c r="L432" s="3" t="n"/>
      <c r="M432" s="3">
        <f>IF(G432="","",G432*H432)</f>
        <v/>
      </c>
      <c r="N432" s="3">
        <f>IF(G432="","",Settings!$C$5)</f>
        <v/>
      </c>
      <c r="O432" s="3">
        <f>IF(G432="","",IF(F432="SELL",M432*IF(E432="Equity Intraday",Settings!$C$8,Settings!$C$7),0))</f>
        <v/>
      </c>
      <c r="P432" s="3">
        <f>IF(G432="","",M432*(Settings!$C$9+Settings!$C$10))</f>
        <v/>
      </c>
      <c r="Q432" s="3">
        <f>IF(G432="","",IF(F432="BUY",M432*Settings!$C$11,0))</f>
        <v/>
      </c>
      <c r="R432" s="3">
        <f>IF(G432="","",N432*Settings!$C$6)</f>
        <v/>
      </c>
      <c r="S432" s="3">
        <f>IF(G432="","",IF(AND(F432="SELL",E432="Equity Delivery"),Settings!$C$13,0))</f>
        <v/>
      </c>
      <c r="T432" s="3">
        <f>IF(G432="","",SUM(N432:S432))</f>
        <v/>
      </c>
      <c r="U432" s="3">
        <f>IF(G432="","",IF(F432="BUY",-(M432+T432),M432-T432))</f>
        <v/>
      </c>
      <c r="V432">
        <f>IF(G432="","",Settings!$C$4+SUM($U$2:U432))</f>
        <v/>
      </c>
    </row>
    <row r="433">
      <c r="A433">
        <f>IF(G433="","",ROW()-1)</f>
        <v/>
      </c>
      <c r="B433" s="8" t="n"/>
      <c r="G433" s="3" t="n"/>
      <c r="H433" s="3" t="n"/>
      <c r="I433" s="3" t="n"/>
      <c r="J433" s="3" t="n"/>
      <c r="K433" s="3" t="n"/>
      <c r="L433" s="3" t="n"/>
      <c r="M433" s="3">
        <f>IF(G433="","",G433*H433)</f>
        <v/>
      </c>
      <c r="N433" s="3">
        <f>IF(G433="","",Settings!$C$5)</f>
        <v/>
      </c>
      <c r="O433" s="3">
        <f>IF(G433="","",IF(F433="SELL",M433*IF(E433="Equity Intraday",Settings!$C$8,Settings!$C$7),0))</f>
        <v/>
      </c>
      <c r="P433" s="3">
        <f>IF(G433="","",M433*(Settings!$C$9+Settings!$C$10))</f>
        <v/>
      </c>
      <c r="Q433" s="3">
        <f>IF(G433="","",IF(F433="BUY",M433*Settings!$C$11,0))</f>
        <v/>
      </c>
      <c r="R433" s="3">
        <f>IF(G433="","",N433*Settings!$C$6)</f>
        <v/>
      </c>
      <c r="S433" s="3">
        <f>IF(G433="","",IF(AND(F433="SELL",E433="Equity Delivery"),Settings!$C$13,0))</f>
        <v/>
      </c>
      <c r="T433" s="3">
        <f>IF(G433="","",SUM(N433:S433))</f>
        <v/>
      </c>
      <c r="U433" s="3">
        <f>IF(G433="","",IF(F433="BUY",-(M433+T433),M433-T433))</f>
        <v/>
      </c>
      <c r="V433">
        <f>IF(G433="","",Settings!$C$4+SUM($U$2:U433))</f>
        <v/>
      </c>
    </row>
    <row r="434">
      <c r="A434">
        <f>IF(G434="","",ROW()-1)</f>
        <v/>
      </c>
      <c r="B434" s="8" t="n"/>
      <c r="G434" s="3" t="n"/>
      <c r="H434" s="3" t="n"/>
      <c r="I434" s="3" t="n"/>
      <c r="J434" s="3" t="n"/>
      <c r="K434" s="3" t="n"/>
      <c r="L434" s="3" t="n"/>
      <c r="M434" s="3">
        <f>IF(G434="","",G434*H434)</f>
        <v/>
      </c>
      <c r="N434" s="3">
        <f>IF(G434="","",Settings!$C$5)</f>
        <v/>
      </c>
      <c r="O434" s="3">
        <f>IF(G434="","",IF(F434="SELL",M434*IF(E434="Equity Intraday",Settings!$C$8,Settings!$C$7),0))</f>
        <v/>
      </c>
      <c r="P434" s="3">
        <f>IF(G434="","",M434*(Settings!$C$9+Settings!$C$10))</f>
        <v/>
      </c>
      <c r="Q434" s="3">
        <f>IF(G434="","",IF(F434="BUY",M434*Settings!$C$11,0))</f>
        <v/>
      </c>
      <c r="R434" s="3">
        <f>IF(G434="","",N434*Settings!$C$6)</f>
        <v/>
      </c>
      <c r="S434" s="3">
        <f>IF(G434="","",IF(AND(F434="SELL",E434="Equity Delivery"),Settings!$C$13,0))</f>
        <v/>
      </c>
      <c r="T434" s="3">
        <f>IF(G434="","",SUM(N434:S434))</f>
        <v/>
      </c>
      <c r="U434" s="3">
        <f>IF(G434="","",IF(F434="BUY",-(M434+T434),M434-T434))</f>
        <v/>
      </c>
      <c r="V434">
        <f>IF(G434="","",Settings!$C$4+SUM($U$2:U434))</f>
        <v/>
      </c>
    </row>
    <row r="435">
      <c r="A435">
        <f>IF(G435="","",ROW()-1)</f>
        <v/>
      </c>
      <c r="B435" s="8" t="n"/>
      <c r="G435" s="3" t="n"/>
      <c r="H435" s="3" t="n"/>
      <c r="I435" s="3" t="n"/>
      <c r="J435" s="3" t="n"/>
      <c r="K435" s="3" t="n"/>
      <c r="L435" s="3" t="n"/>
      <c r="M435" s="3">
        <f>IF(G435="","",G435*H435)</f>
        <v/>
      </c>
      <c r="N435" s="3">
        <f>IF(G435="","",Settings!$C$5)</f>
        <v/>
      </c>
      <c r="O435" s="3">
        <f>IF(G435="","",IF(F435="SELL",M435*IF(E435="Equity Intraday",Settings!$C$8,Settings!$C$7),0))</f>
        <v/>
      </c>
      <c r="P435" s="3">
        <f>IF(G435="","",M435*(Settings!$C$9+Settings!$C$10))</f>
        <v/>
      </c>
      <c r="Q435" s="3">
        <f>IF(G435="","",IF(F435="BUY",M435*Settings!$C$11,0))</f>
        <v/>
      </c>
      <c r="R435" s="3">
        <f>IF(G435="","",N435*Settings!$C$6)</f>
        <v/>
      </c>
      <c r="S435" s="3">
        <f>IF(G435="","",IF(AND(F435="SELL",E435="Equity Delivery"),Settings!$C$13,0))</f>
        <v/>
      </c>
      <c r="T435" s="3">
        <f>IF(G435="","",SUM(N435:S435))</f>
        <v/>
      </c>
      <c r="U435" s="3">
        <f>IF(G435="","",IF(F435="BUY",-(M435+T435),M435-T435))</f>
        <v/>
      </c>
      <c r="V435">
        <f>IF(G435="","",Settings!$C$4+SUM($U$2:U435))</f>
        <v/>
      </c>
    </row>
    <row r="436">
      <c r="A436">
        <f>IF(G436="","",ROW()-1)</f>
        <v/>
      </c>
      <c r="B436" s="8" t="n"/>
      <c r="G436" s="3" t="n"/>
      <c r="H436" s="3" t="n"/>
      <c r="I436" s="3" t="n"/>
      <c r="J436" s="3" t="n"/>
      <c r="K436" s="3" t="n"/>
      <c r="L436" s="3" t="n"/>
      <c r="M436" s="3">
        <f>IF(G436="","",G436*H436)</f>
        <v/>
      </c>
      <c r="N436" s="3">
        <f>IF(G436="","",Settings!$C$5)</f>
        <v/>
      </c>
      <c r="O436" s="3">
        <f>IF(G436="","",IF(F436="SELL",M436*IF(E436="Equity Intraday",Settings!$C$8,Settings!$C$7),0))</f>
        <v/>
      </c>
      <c r="P436" s="3">
        <f>IF(G436="","",M436*(Settings!$C$9+Settings!$C$10))</f>
        <v/>
      </c>
      <c r="Q436" s="3">
        <f>IF(G436="","",IF(F436="BUY",M436*Settings!$C$11,0))</f>
        <v/>
      </c>
      <c r="R436" s="3">
        <f>IF(G436="","",N436*Settings!$C$6)</f>
        <v/>
      </c>
      <c r="S436" s="3">
        <f>IF(G436="","",IF(AND(F436="SELL",E436="Equity Delivery"),Settings!$C$13,0))</f>
        <v/>
      </c>
      <c r="T436" s="3">
        <f>IF(G436="","",SUM(N436:S436))</f>
        <v/>
      </c>
      <c r="U436" s="3">
        <f>IF(G436="","",IF(F436="BUY",-(M436+T436),M436-T436))</f>
        <v/>
      </c>
      <c r="V436">
        <f>IF(G436="","",Settings!$C$4+SUM($U$2:U436))</f>
        <v/>
      </c>
    </row>
    <row r="437">
      <c r="A437">
        <f>IF(G437="","",ROW()-1)</f>
        <v/>
      </c>
      <c r="B437" s="8" t="n"/>
      <c r="G437" s="3" t="n"/>
      <c r="H437" s="3" t="n"/>
      <c r="I437" s="3" t="n"/>
      <c r="J437" s="3" t="n"/>
      <c r="K437" s="3" t="n"/>
      <c r="L437" s="3" t="n"/>
      <c r="M437" s="3">
        <f>IF(G437="","",G437*H437)</f>
        <v/>
      </c>
      <c r="N437" s="3">
        <f>IF(G437="","",Settings!$C$5)</f>
        <v/>
      </c>
      <c r="O437" s="3">
        <f>IF(G437="","",IF(F437="SELL",M437*IF(E437="Equity Intraday",Settings!$C$8,Settings!$C$7),0))</f>
        <v/>
      </c>
      <c r="P437" s="3">
        <f>IF(G437="","",M437*(Settings!$C$9+Settings!$C$10))</f>
        <v/>
      </c>
      <c r="Q437" s="3">
        <f>IF(G437="","",IF(F437="BUY",M437*Settings!$C$11,0))</f>
        <v/>
      </c>
      <c r="R437" s="3">
        <f>IF(G437="","",N437*Settings!$C$6)</f>
        <v/>
      </c>
      <c r="S437" s="3">
        <f>IF(G437="","",IF(AND(F437="SELL",E437="Equity Delivery"),Settings!$C$13,0))</f>
        <v/>
      </c>
      <c r="T437" s="3">
        <f>IF(G437="","",SUM(N437:S437))</f>
        <v/>
      </c>
      <c r="U437" s="3">
        <f>IF(G437="","",IF(F437="BUY",-(M437+T437),M437-T437))</f>
        <v/>
      </c>
      <c r="V437">
        <f>IF(G437="","",Settings!$C$4+SUM($U$2:U437))</f>
        <v/>
      </c>
    </row>
    <row r="438">
      <c r="A438">
        <f>IF(G438="","",ROW()-1)</f>
        <v/>
      </c>
      <c r="B438" s="8" t="n"/>
      <c r="G438" s="3" t="n"/>
      <c r="H438" s="3" t="n"/>
      <c r="I438" s="3" t="n"/>
      <c r="J438" s="3" t="n"/>
      <c r="K438" s="3" t="n"/>
      <c r="L438" s="3" t="n"/>
      <c r="M438" s="3">
        <f>IF(G438="","",G438*H438)</f>
        <v/>
      </c>
      <c r="N438" s="3">
        <f>IF(G438="","",Settings!$C$5)</f>
        <v/>
      </c>
      <c r="O438" s="3">
        <f>IF(G438="","",IF(F438="SELL",M438*IF(E438="Equity Intraday",Settings!$C$8,Settings!$C$7),0))</f>
        <v/>
      </c>
      <c r="P438" s="3">
        <f>IF(G438="","",M438*(Settings!$C$9+Settings!$C$10))</f>
        <v/>
      </c>
      <c r="Q438" s="3">
        <f>IF(G438="","",IF(F438="BUY",M438*Settings!$C$11,0))</f>
        <v/>
      </c>
      <c r="R438" s="3">
        <f>IF(G438="","",N438*Settings!$C$6)</f>
        <v/>
      </c>
      <c r="S438" s="3">
        <f>IF(G438="","",IF(AND(F438="SELL",E438="Equity Delivery"),Settings!$C$13,0))</f>
        <v/>
      </c>
      <c r="T438" s="3">
        <f>IF(G438="","",SUM(N438:S438))</f>
        <v/>
      </c>
      <c r="U438" s="3">
        <f>IF(G438="","",IF(F438="BUY",-(M438+T438),M438-T438))</f>
        <v/>
      </c>
      <c r="V438">
        <f>IF(G438="","",Settings!$C$4+SUM($U$2:U438))</f>
        <v/>
      </c>
    </row>
    <row r="439">
      <c r="A439">
        <f>IF(G439="","",ROW()-1)</f>
        <v/>
      </c>
      <c r="B439" s="8" t="n"/>
      <c r="G439" s="3" t="n"/>
      <c r="H439" s="3" t="n"/>
      <c r="I439" s="3" t="n"/>
      <c r="J439" s="3" t="n"/>
      <c r="K439" s="3" t="n"/>
      <c r="L439" s="3" t="n"/>
      <c r="M439" s="3">
        <f>IF(G439="","",G439*H439)</f>
        <v/>
      </c>
      <c r="N439" s="3">
        <f>IF(G439="","",Settings!$C$5)</f>
        <v/>
      </c>
      <c r="O439" s="3">
        <f>IF(G439="","",IF(F439="SELL",M439*IF(E439="Equity Intraday",Settings!$C$8,Settings!$C$7),0))</f>
        <v/>
      </c>
      <c r="P439" s="3">
        <f>IF(G439="","",M439*(Settings!$C$9+Settings!$C$10))</f>
        <v/>
      </c>
      <c r="Q439" s="3">
        <f>IF(G439="","",IF(F439="BUY",M439*Settings!$C$11,0))</f>
        <v/>
      </c>
      <c r="R439" s="3">
        <f>IF(G439="","",N439*Settings!$C$6)</f>
        <v/>
      </c>
      <c r="S439" s="3">
        <f>IF(G439="","",IF(AND(F439="SELL",E439="Equity Delivery"),Settings!$C$13,0))</f>
        <v/>
      </c>
      <c r="T439" s="3">
        <f>IF(G439="","",SUM(N439:S439))</f>
        <v/>
      </c>
      <c r="U439" s="3">
        <f>IF(G439="","",IF(F439="BUY",-(M439+T439),M439-T439))</f>
        <v/>
      </c>
      <c r="V439">
        <f>IF(G439="","",Settings!$C$4+SUM($U$2:U439))</f>
        <v/>
      </c>
    </row>
    <row r="440">
      <c r="A440">
        <f>IF(G440="","",ROW()-1)</f>
        <v/>
      </c>
      <c r="B440" s="8" t="n"/>
      <c r="G440" s="3" t="n"/>
      <c r="H440" s="3" t="n"/>
      <c r="I440" s="3" t="n"/>
      <c r="J440" s="3" t="n"/>
      <c r="K440" s="3" t="n"/>
      <c r="L440" s="3" t="n"/>
      <c r="M440" s="3">
        <f>IF(G440="","",G440*H440)</f>
        <v/>
      </c>
      <c r="N440" s="3">
        <f>IF(G440="","",Settings!$C$5)</f>
        <v/>
      </c>
      <c r="O440" s="3">
        <f>IF(G440="","",IF(F440="SELL",M440*IF(E440="Equity Intraday",Settings!$C$8,Settings!$C$7),0))</f>
        <v/>
      </c>
      <c r="P440" s="3">
        <f>IF(G440="","",M440*(Settings!$C$9+Settings!$C$10))</f>
        <v/>
      </c>
      <c r="Q440" s="3">
        <f>IF(G440="","",IF(F440="BUY",M440*Settings!$C$11,0))</f>
        <v/>
      </c>
      <c r="R440" s="3">
        <f>IF(G440="","",N440*Settings!$C$6)</f>
        <v/>
      </c>
      <c r="S440" s="3">
        <f>IF(G440="","",IF(AND(F440="SELL",E440="Equity Delivery"),Settings!$C$13,0))</f>
        <v/>
      </c>
      <c r="T440" s="3">
        <f>IF(G440="","",SUM(N440:S440))</f>
        <v/>
      </c>
      <c r="U440" s="3">
        <f>IF(G440="","",IF(F440="BUY",-(M440+T440),M440-T440))</f>
        <v/>
      </c>
      <c r="V440">
        <f>IF(G440="","",Settings!$C$4+SUM($U$2:U440))</f>
        <v/>
      </c>
    </row>
    <row r="441">
      <c r="A441">
        <f>IF(G441="","",ROW()-1)</f>
        <v/>
      </c>
      <c r="B441" s="8" t="n"/>
      <c r="G441" s="3" t="n"/>
      <c r="H441" s="3" t="n"/>
      <c r="I441" s="3" t="n"/>
      <c r="J441" s="3" t="n"/>
      <c r="K441" s="3" t="n"/>
      <c r="L441" s="3" t="n"/>
      <c r="M441" s="3">
        <f>IF(G441="","",G441*H441)</f>
        <v/>
      </c>
      <c r="N441" s="3">
        <f>IF(G441="","",Settings!$C$5)</f>
        <v/>
      </c>
      <c r="O441" s="3">
        <f>IF(G441="","",IF(F441="SELL",M441*IF(E441="Equity Intraday",Settings!$C$8,Settings!$C$7),0))</f>
        <v/>
      </c>
      <c r="P441" s="3">
        <f>IF(G441="","",M441*(Settings!$C$9+Settings!$C$10))</f>
        <v/>
      </c>
      <c r="Q441" s="3">
        <f>IF(G441="","",IF(F441="BUY",M441*Settings!$C$11,0))</f>
        <v/>
      </c>
      <c r="R441" s="3">
        <f>IF(G441="","",N441*Settings!$C$6)</f>
        <v/>
      </c>
      <c r="S441" s="3">
        <f>IF(G441="","",IF(AND(F441="SELL",E441="Equity Delivery"),Settings!$C$13,0))</f>
        <v/>
      </c>
      <c r="T441" s="3">
        <f>IF(G441="","",SUM(N441:S441))</f>
        <v/>
      </c>
      <c r="U441" s="3">
        <f>IF(G441="","",IF(F441="BUY",-(M441+T441),M441-T441))</f>
        <v/>
      </c>
      <c r="V441">
        <f>IF(G441="","",Settings!$C$4+SUM($U$2:U441))</f>
        <v/>
      </c>
    </row>
    <row r="442">
      <c r="A442">
        <f>IF(G442="","",ROW()-1)</f>
        <v/>
      </c>
      <c r="B442" s="8" t="n"/>
      <c r="G442" s="3" t="n"/>
      <c r="H442" s="3" t="n"/>
      <c r="I442" s="3" t="n"/>
      <c r="J442" s="3" t="n"/>
      <c r="K442" s="3" t="n"/>
      <c r="L442" s="3" t="n"/>
      <c r="M442" s="3">
        <f>IF(G442="","",G442*H442)</f>
        <v/>
      </c>
      <c r="N442" s="3">
        <f>IF(G442="","",Settings!$C$5)</f>
        <v/>
      </c>
      <c r="O442" s="3">
        <f>IF(G442="","",IF(F442="SELL",M442*IF(E442="Equity Intraday",Settings!$C$8,Settings!$C$7),0))</f>
        <v/>
      </c>
      <c r="P442" s="3">
        <f>IF(G442="","",M442*(Settings!$C$9+Settings!$C$10))</f>
        <v/>
      </c>
      <c r="Q442" s="3">
        <f>IF(G442="","",IF(F442="BUY",M442*Settings!$C$11,0))</f>
        <v/>
      </c>
      <c r="R442" s="3">
        <f>IF(G442="","",N442*Settings!$C$6)</f>
        <v/>
      </c>
      <c r="S442" s="3">
        <f>IF(G442="","",IF(AND(F442="SELL",E442="Equity Delivery"),Settings!$C$13,0))</f>
        <v/>
      </c>
      <c r="T442" s="3">
        <f>IF(G442="","",SUM(N442:S442))</f>
        <v/>
      </c>
      <c r="U442" s="3">
        <f>IF(G442="","",IF(F442="BUY",-(M442+T442),M442-T442))</f>
        <v/>
      </c>
      <c r="V442">
        <f>IF(G442="","",Settings!$C$4+SUM($U$2:U442))</f>
        <v/>
      </c>
    </row>
    <row r="443">
      <c r="A443">
        <f>IF(G443="","",ROW()-1)</f>
        <v/>
      </c>
      <c r="B443" s="8" t="n"/>
      <c r="G443" s="3" t="n"/>
      <c r="H443" s="3" t="n"/>
      <c r="I443" s="3" t="n"/>
      <c r="J443" s="3" t="n"/>
      <c r="K443" s="3" t="n"/>
      <c r="L443" s="3" t="n"/>
      <c r="M443" s="3">
        <f>IF(G443="","",G443*H443)</f>
        <v/>
      </c>
      <c r="N443" s="3">
        <f>IF(G443="","",Settings!$C$5)</f>
        <v/>
      </c>
      <c r="O443" s="3">
        <f>IF(G443="","",IF(F443="SELL",M443*IF(E443="Equity Intraday",Settings!$C$8,Settings!$C$7),0))</f>
        <v/>
      </c>
      <c r="P443" s="3">
        <f>IF(G443="","",M443*(Settings!$C$9+Settings!$C$10))</f>
        <v/>
      </c>
      <c r="Q443" s="3">
        <f>IF(G443="","",IF(F443="BUY",M443*Settings!$C$11,0))</f>
        <v/>
      </c>
      <c r="R443" s="3">
        <f>IF(G443="","",N443*Settings!$C$6)</f>
        <v/>
      </c>
      <c r="S443" s="3">
        <f>IF(G443="","",IF(AND(F443="SELL",E443="Equity Delivery"),Settings!$C$13,0))</f>
        <v/>
      </c>
      <c r="T443" s="3">
        <f>IF(G443="","",SUM(N443:S443))</f>
        <v/>
      </c>
      <c r="U443" s="3">
        <f>IF(G443="","",IF(F443="BUY",-(M443+T443),M443-T443))</f>
        <v/>
      </c>
      <c r="V443">
        <f>IF(G443="","",Settings!$C$4+SUM($U$2:U443))</f>
        <v/>
      </c>
    </row>
    <row r="444">
      <c r="A444">
        <f>IF(G444="","",ROW()-1)</f>
        <v/>
      </c>
      <c r="B444" s="8" t="n"/>
      <c r="G444" s="3" t="n"/>
      <c r="H444" s="3" t="n"/>
      <c r="I444" s="3" t="n"/>
      <c r="J444" s="3" t="n"/>
      <c r="K444" s="3" t="n"/>
      <c r="L444" s="3" t="n"/>
      <c r="M444" s="3">
        <f>IF(G444="","",G444*H444)</f>
        <v/>
      </c>
      <c r="N444" s="3">
        <f>IF(G444="","",Settings!$C$5)</f>
        <v/>
      </c>
      <c r="O444" s="3">
        <f>IF(G444="","",IF(F444="SELL",M444*IF(E444="Equity Intraday",Settings!$C$8,Settings!$C$7),0))</f>
        <v/>
      </c>
      <c r="P444" s="3">
        <f>IF(G444="","",M444*(Settings!$C$9+Settings!$C$10))</f>
        <v/>
      </c>
      <c r="Q444" s="3">
        <f>IF(G444="","",IF(F444="BUY",M444*Settings!$C$11,0))</f>
        <v/>
      </c>
      <c r="R444" s="3">
        <f>IF(G444="","",N444*Settings!$C$6)</f>
        <v/>
      </c>
      <c r="S444" s="3">
        <f>IF(G444="","",IF(AND(F444="SELL",E444="Equity Delivery"),Settings!$C$13,0))</f>
        <v/>
      </c>
      <c r="T444" s="3">
        <f>IF(G444="","",SUM(N444:S444))</f>
        <v/>
      </c>
      <c r="U444" s="3">
        <f>IF(G444="","",IF(F444="BUY",-(M444+T444),M444-T444))</f>
        <v/>
      </c>
      <c r="V444">
        <f>IF(G444="","",Settings!$C$4+SUM($U$2:U444))</f>
        <v/>
      </c>
    </row>
    <row r="445">
      <c r="A445">
        <f>IF(G445="","",ROW()-1)</f>
        <v/>
      </c>
      <c r="B445" s="8" t="n"/>
      <c r="G445" s="3" t="n"/>
      <c r="H445" s="3" t="n"/>
      <c r="I445" s="3" t="n"/>
      <c r="J445" s="3" t="n"/>
      <c r="K445" s="3" t="n"/>
      <c r="L445" s="3" t="n"/>
      <c r="M445" s="3">
        <f>IF(G445="","",G445*H445)</f>
        <v/>
      </c>
      <c r="N445" s="3">
        <f>IF(G445="","",Settings!$C$5)</f>
        <v/>
      </c>
      <c r="O445" s="3">
        <f>IF(G445="","",IF(F445="SELL",M445*IF(E445="Equity Intraday",Settings!$C$8,Settings!$C$7),0))</f>
        <v/>
      </c>
      <c r="P445" s="3">
        <f>IF(G445="","",M445*(Settings!$C$9+Settings!$C$10))</f>
        <v/>
      </c>
      <c r="Q445" s="3">
        <f>IF(G445="","",IF(F445="BUY",M445*Settings!$C$11,0))</f>
        <v/>
      </c>
      <c r="R445" s="3">
        <f>IF(G445="","",N445*Settings!$C$6)</f>
        <v/>
      </c>
      <c r="S445" s="3">
        <f>IF(G445="","",IF(AND(F445="SELL",E445="Equity Delivery"),Settings!$C$13,0))</f>
        <v/>
      </c>
      <c r="T445" s="3">
        <f>IF(G445="","",SUM(N445:S445))</f>
        <v/>
      </c>
      <c r="U445" s="3">
        <f>IF(G445="","",IF(F445="BUY",-(M445+T445),M445-T445))</f>
        <v/>
      </c>
      <c r="V445">
        <f>IF(G445="","",Settings!$C$4+SUM($U$2:U445))</f>
        <v/>
      </c>
    </row>
    <row r="446">
      <c r="A446">
        <f>IF(G446="","",ROW()-1)</f>
        <v/>
      </c>
      <c r="B446" s="8" t="n"/>
      <c r="G446" s="3" t="n"/>
      <c r="H446" s="3" t="n"/>
      <c r="I446" s="3" t="n"/>
      <c r="J446" s="3" t="n"/>
      <c r="K446" s="3" t="n"/>
      <c r="L446" s="3" t="n"/>
      <c r="M446" s="3">
        <f>IF(G446="","",G446*H446)</f>
        <v/>
      </c>
      <c r="N446" s="3">
        <f>IF(G446="","",Settings!$C$5)</f>
        <v/>
      </c>
      <c r="O446" s="3">
        <f>IF(G446="","",IF(F446="SELL",M446*IF(E446="Equity Intraday",Settings!$C$8,Settings!$C$7),0))</f>
        <v/>
      </c>
      <c r="P446" s="3">
        <f>IF(G446="","",M446*(Settings!$C$9+Settings!$C$10))</f>
        <v/>
      </c>
      <c r="Q446" s="3">
        <f>IF(G446="","",IF(F446="BUY",M446*Settings!$C$11,0))</f>
        <v/>
      </c>
      <c r="R446" s="3">
        <f>IF(G446="","",N446*Settings!$C$6)</f>
        <v/>
      </c>
      <c r="S446" s="3">
        <f>IF(G446="","",IF(AND(F446="SELL",E446="Equity Delivery"),Settings!$C$13,0))</f>
        <v/>
      </c>
      <c r="T446" s="3">
        <f>IF(G446="","",SUM(N446:S446))</f>
        <v/>
      </c>
      <c r="U446" s="3">
        <f>IF(G446="","",IF(F446="BUY",-(M446+T446),M446-T446))</f>
        <v/>
      </c>
      <c r="V446">
        <f>IF(G446="","",Settings!$C$4+SUM($U$2:U446))</f>
        <v/>
      </c>
    </row>
    <row r="447">
      <c r="A447">
        <f>IF(G447="","",ROW()-1)</f>
        <v/>
      </c>
      <c r="B447" s="8" t="n"/>
      <c r="G447" s="3" t="n"/>
      <c r="H447" s="3" t="n"/>
      <c r="I447" s="3" t="n"/>
      <c r="J447" s="3" t="n"/>
      <c r="K447" s="3" t="n"/>
      <c r="L447" s="3" t="n"/>
      <c r="M447" s="3">
        <f>IF(G447="","",G447*H447)</f>
        <v/>
      </c>
      <c r="N447" s="3">
        <f>IF(G447="","",Settings!$C$5)</f>
        <v/>
      </c>
      <c r="O447" s="3">
        <f>IF(G447="","",IF(F447="SELL",M447*IF(E447="Equity Intraday",Settings!$C$8,Settings!$C$7),0))</f>
        <v/>
      </c>
      <c r="P447" s="3">
        <f>IF(G447="","",M447*(Settings!$C$9+Settings!$C$10))</f>
        <v/>
      </c>
      <c r="Q447" s="3">
        <f>IF(G447="","",IF(F447="BUY",M447*Settings!$C$11,0))</f>
        <v/>
      </c>
      <c r="R447" s="3">
        <f>IF(G447="","",N447*Settings!$C$6)</f>
        <v/>
      </c>
      <c r="S447" s="3">
        <f>IF(G447="","",IF(AND(F447="SELL",E447="Equity Delivery"),Settings!$C$13,0))</f>
        <v/>
      </c>
      <c r="T447" s="3">
        <f>IF(G447="","",SUM(N447:S447))</f>
        <v/>
      </c>
      <c r="U447" s="3">
        <f>IF(G447="","",IF(F447="BUY",-(M447+T447),M447-T447))</f>
        <v/>
      </c>
      <c r="V447">
        <f>IF(G447="","",Settings!$C$4+SUM($U$2:U447))</f>
        <v/>
      </c>
    </row>
    <row r="448">
      <c r="A448">
        <f>IF(G448="","",ROW()-1)</f>
        <v/>
      </c>
      <c r="B448" s="8" t="n"/>
      <c r="G448" s="3" t="n"/>
      <c r="H448" s="3" t="n"/>
      <c r="I448" s="3" t="n"/>
      <c r="J448" s="3" t="n"/>
      <c r="K448" s="3" t="n"/>
      <c r="L448" s="3" t="n"/>
      <c r="M448" s="3">
        <f>IF(G448="","",G448*H448)</f>
        <v/>
      </c>
      <c r="N448" s="3">
        <f>IF(G448="","",Settings!$C$5)</f>
        <v/>
      </c>
      <c r="O448" s="3">
        <f>IF(G448="","",IF(F448="SELL",M448*IF(E448="Equity Intraday",Settings!$C$8,Settings!$C$7),0))</f>
        <v/>
      </c>
      <c r="P448" s="3">
        <f>IF(G448="","",M448*(Settings!$C$9+Settings!$C$10))</f>
        <v/>
      </c>
      <c r="Q448" s="3">
        <f>IF(G448="","",IF(F448="BUY",M448*Settings!$C$11,0))</f>
        <v/>
      </c>
      <c r="R448" s="3">
        <f>IF(G448="","",N448*Settings!$C$6)</f>
        <v/>
      </c>
      <c r="S448" s="3">
        <f>IF(G448="","",IF(AND(F448="SELL",E448="Equity Delivery"),Settings!$C$13,0))</f>
        <v/>
      </c>
      <c r="T448" s="3">
        <f>IF(G448="","",SUM(N448:S448))</f>
        <v/>
      </c>
      <c r="U448" s="3">
        <f>IF(G448="","",IF(F448="BUY",-(M448+T448),M448-T448))</f>
        <v/>
      </c>
      <c r="V448">
        <f>IF(G448="","",Settings!$C$4+SUM($U$2:U448))</f>
        <v/>
      </c>
    </row>
    <row r="449">
      <c r="A449">
        <f>IF(G449="","",ROW()-1)</f>
        <v/>
      </c>
      <c r="B449" s="8" t="n"/>
      <c r="G449" s="3" t="n"/>
      <c r="H449" s="3" t="n"/>
      <c r="I449" s="3" t="n"/>
      <c r="J449" s="3" t="n"/>
      <c r="K449" s="3" t="n"/>
      <c r="L449" s="3" t="n"/>
      <c r="M449" s="3">
        <f>IF(G449="","",G449*H449)</f>
        <v/>
      </c>
      <c r="N449" s="3">
        <f>IF(G449="","",Settings!$C$5)</f>
        <v/>
      </c>
      <c r="O449" s="3">
        <f>IF(G449="","",IF(F449="SELL",M449*IF(E449="Equity Intraday",Settings!$C$8,Settings!$C$7),0))</f>
        <v/>
      </c>
      <c r="P449" s="3">
        <f>IF(G449="","",M449*(Settings!$C$9+Settings!$C$10))</f>
        <v/>
      </c>
      <c r="Q449" s="3">
        <f>IF(G449="","",IF(F449="BUY",M449*Settings!$C$11,0))</f>
        <v/>
      </c>
      <c r="R449" s="3">
        <f>IF(G449="","",N449*Settings!$C$6)</f>
        <v/>
      </c>
      <c r="S449" s="3">
        <f>IF(G449="","",IF(AND(F449="SELL",E449="Equity Delivery"),Settings!$C$13,0))</f>
        <v/>
      </c>
      <c r="T449" s="3">
        <f>IF(G449="","",SUM(N449:S449))</f>
        <v/>
      </c>
      <c r="U449" s="3">
        <f>IF(G449="","",IF(F449="BUY",-(M449+T449),M449-T449))</f>
        <v/>
      </c>
      <c r="V449">
        <f>IF(G449="","",Settings!$C$4+SUM($U$2:U449))</f>
        <v/>
      </c>
    </row>
    <row r="450">
      <c r="A450">
        <f>IF(G450="","",ROW()-1)</f>
        <v/>
      </c>
      <c r="B450" s="8" t="n"/>
      <c r="G450" s="3" t="n"/>
      <c r="H450" s="3" t="n"/>
      <c r="I450" s="3" t="n"/>
      <c r="J450" s="3" t="n"/>
      <c r="K450" s="3" t="n"/>
      <c r="L450" s="3" t="n"/>
      <c r="M450" s="3">
        <f>IF(G450="","",G450*H450)</f>
        <v/>
      </c>
      <c r="N450" s="3">
        <f>IF(G450="","",Settings!$C$5)</f>
        <v/>
      </c>
      <c r="O450" s="3">
        <f>IF(G450="","",IF(F450="SELL",M450*IF(E450="Equity Intraday",Settings!$C$8,Settings!$C$7),0))</f>
        <v/>
      </c>
      <c r="P450" s="3">
        <f>IF(G450="","",M450*(Settings!$C$9+Settings!$C$10))</f>
        <v/>
      </c>
      <c r="Q450" s="3">
        <f>IF(G450="","",IF(F450="BUY",M450*Settings!$C$11,0))</f>
        <v/>
      </c>
      <c r="R450" s="3">
        <f>IF(G450="","",N450*Settings!$C$6)</f>
        <v/>
      </c>
      <c r="S450" s="3">
        <f>IF(G450="","",IF(AND(F450="SELL",E450="Equity Delivery"),Settings!$C$13,0))</f>
        <v/>
      </c>
      <c r="T450" s="3">
        <f>IF(G450="","",SUM(N450:S450))</f>
        <v/>
      </c>
      <c r="U450" s="3">
        <f>IF(G450="","",IF(F450="BUY",-(M450+T450),M450-T450))</f>
        <v/>
      </c>
      <c r="V450">
        <f>IF(G450="","",Settings!$C$4+SUM($U$2:U450))</f>
        <v/>
      </c>
    </row>
    <row r="451">
      <c r="A451">
        <f>IF(G451="","",ROW()-1)</f>
        <v/>
      </c>
      <c r="B451" s="8" t="n"/>
      <c r="G451" s="3" t="n"/>
      <c r="H451" s="3" t="n"/>
      <c r="I451" s="3" t="n"/>
      <c r="J451" s="3" t="n"/>
      <c r="K451" s="3" t="n"/>
      <c r="L451" s="3" t="n"/>
      <c r="M451" s="3">
        <f>IF(G451="","",G451*H451)</f>
        <v/>
      </c>
      <c r="N451" s="3">
        <f>IF(G451="","",Settings!$C$5)</f>
        <v/>
      </c>
      <c r="O451" s="3">
        <f>IF(G451="","",IF(F451="SELL",M451*IF(E451="Equity Intraday",Settings!$C$8,Settings!$C$7),0))</f>
        <v/>
      </c>
      <c r="P451" s="3">
        <f>IF(G451="","",M451*(Settings!$C$9+Settings!$C$10))</f>
        <v/>
      </c>
      <c r="Q451" s="3">
        <f>IF(G451="","",IF(F451="BUY",M451*Settings!$C$11,0))</f>
        <v/>
      </c>
      <c r="R451" s="3">
        <f>IF(G451="","",N451*Settings!$C$6)</f>
        <v/>
      </c>
      <c r="S451" s="3">
        <f>IF(G451="","",IF(AND(F451="SELL",E451="Equity Delivery"),Settings!$C$13,0))</f>
        <v/>
      </c>
      <c r="T451" s="3">
        <f>IF(G451="","",SUM(N451:S451))</f>
        <v/>
      </c>
      <c r="U451" s="3">
        <f>IF(G451="","",IF(F451="BUY",-(M451+T451),M451-T451))</f>
        <v/>
      </c>
      <c r="V451">
        <f>IF(G451="","",Settings!$C$4+SUM($U$2:U451))</f>
        <v/>
      </c>
    </row>
    <row r="452">
      <c r="A452">
        <f>IF(G452="","",ROW()-1)</f>
        <v/>
      </c>
      <c r="B452" s="8" t="n"/>
      <c r="G452" s="3" t="n"/>
      <c r="H452" s="3" t="n"/>
      <c r="I452" s="3" t="n"/>
      <c r="J452" s="3" t="n"/>
      <c r="K452" s="3" t="n"/>
      <c r="L452" s="3" t="n"/>
      <c r="M452" s="3">
        <f>IF(G452="","",G452*H452)</f>
        <v/>
      </c>
      <c r="N452" s="3">
        <f>IF(G452="","",Settings!$C$5)</f>
        <v/>
      </c>
      <c r="O452" s="3">
        <f>IF(G452="","",IF(F452="SELL",M452*IF(E452="Equity Intraday",Settings!$C$8,Settings!$C$7),0))</f>
        <v/>
      </c>
      <c r="P452" s="3">
        <f>IF(G452="","",M452*(Settings!$C$9+Settings!$C$10))</f>
        <v/>
      </c>
      <c r="Q452" s="3">
        <f>IF(G452="","",IF(F452="BUY",M452*Settings!$C$11,0))</f>
        <v/>
      </c>
      <c r="R452" s="3">
        <f>IF(G452="","",N452*Settings!$C$6)</f>
        <v/>
      </c>
      <c r="S452" s="3">
        <f>IF(G452="","",IF(AND(F452="SELL",E452="Equity Delivery"),Settings!$C$13,0))</f>
        <v/>
      </c>
      <c r="T452" s="3">
        <f>IF(G452="","",SUM(N452:S452))</f>
        <v/>
      </c>
      <c r="U452" s="3">
        <f>IF(G452="","",IF(F452="BUY",-(M452+T452),M452-T452))</f>
        <v/>
      </c>
      <c r="V452">
        <f>IF(G452="","",Settings!$C$4+SUM($U$2:U452))</f>
        <v/>
      </c>
    </row>
    <row r="453">
      <c r="A453">
        <f>IF(G453="","",ROW()-1)</f>
        <v/>
      </c>
      <c r="B453" s="8" t="n"/>
      <c r="G453" s="3" t="n"/>
      <c r="H453" s="3" t="n"/>
      <c r="I453" s="3" t="n"/>
      <c r="J453" s="3" t="n"/>
      <c r="K453" s="3" t="n"/>
      <c r="L453" s="3" t="n"/>
      <c r="M453" s="3">
        <f>IF(G453="","",G453*H453)</f>
        <v/>
      </c>
      <c r="N453" s="3">
        <f>IF(G453="","",Settings!$C$5)</f>
        <v/>
      </c>
      <c r="O453" s="3">
        <f>IF(G453="","",IF(F453="SELL",M453*IF(E453="Equity Intraday",Settings!$C$8,Settings!$C$7),0))</f>
        <v/>
      </c>
      <c r="P453" s="3">
        <f>IF(G453="","",M453*(Settings!$C$9+Settings!$C$10))</f>
        <v/>
      </c>
      <c r="Q453" s="3">
        <f>IF(G453="","",IF(F453="BUY",M453*Settings!$C$11,0))</f>
        <v/>
      </c>
      <c r="R453" s="3">
        <f>IF(G453="","",N453*Settings!$C$6)</f>
        <v/>
      </c>
      <c r="S453" s="3">
        <f>IF(G453="","",IF(AND(F453="SELL",E453="Equity Delivery"),Settings!$C$13,0))</f>
        <v/>
      </c>
      <c r="T453" s="3">
        <f>IF(G453="","",SUM(N453:S453))</f>
        <v/>
      </c>
      <c r="U453" s="3">
        <f>IF(G453="","",IF(F453="BUY",-(M453+T453),M453-T453))</f>
        <v/>
      </c>
      <c r="V453">
        <f>IF(G453="","",Settings!$C$4+SUM($U$2:U453))</f>
        <v/>
      </c>
    </row>
    <row r="454">
      <c r="A454">
        <f>IF(G454="","",ROW()-1)</f>
        <v/>
      </c>
      <c r="B454" s="8" t="n"/>
      <c r="G454" s="3" t="n"/>
      <c r="H454" s="3" t="n"/>
      <c r="I454" s="3" t="n"/>
      <c r="J454" s="3" t="n"/>
      <c r="K454" s="3" t="n"/>
      <c r="L454" s="3" t="n"/>
      <c r="M454" s="3">
        <f>IF(G454="","",G454*H454)</f>
        <v/>
      </c>
      <c r="N454" s="3">
        <f>IF(G454="","",Settings!$C$5)</f>
        <v/>
      </c>
      <c r="O454" s="3">
        <f>IF(G454="","",IF(F454="SELL",M454*IF(E454="Equity Intraday",Settings!$C$8,Settings!$C$7),0))</f>
        <v/>
      </c>
      <c r="P454" s="3">
        <f>IF(G454="","",M454*(Settings!$C$9+Settings!$C$10))</f>
        <v/>
      </c>
      <c r="Q454" s="3">
        <f>IF(G454="","",IF(F454="BUY",M454*Settings!$C$11,0))</f>
        <v/>
      </c>
      <c r="R454" s="3">
        <f>IF(G454="","",N454*Settings!$C$6)</f>
        <v/>
      </c>
      <c r="S454" s="3">
        <f>IF(G454="","",IF(AND(F454="SELL",E454="Equity Delivery"),Settings!$C$13,0))</f>
        <v/>
      </c>
      <c r="T454" s="3">
        <f>IF(G454="","",SUM(N454:S454))</f>
        <v/>
      </c>
      <c r="U454" s="3">
        <f>IF(G454="","",IF(F454="BUY",-(M454+T454),M454-T454))</f>
        <v/>
      </c>
      <c r="V454">
        <f>IF(G454="","",Settings!$C$4+SUM($U$2:U454))</f>
        <v/>
      </c>
    </row>
    <row r="455">
      <c r="A455">
        <f>IF(G455="","",ROW()-1)</f>
        <v/>
      </c>
      <c r="B455" s="8" t="n"/>
      <c r="G455" s="3" t="n"/>
      <c r="H455" s="3" t="n"/>
      <c r="I455" s="3" t="n"/>
      <c r="J455" s="3" t="n"/>
      <c r="K455" s="3" t="n"/>
      <c r="L455" s="3" t="n"/>
      <c r="M455" s="3">
        <f>IF(G455="","",G455*H455)</f>
        <v/>
      </c>
      <c r="N455" s="3">
        <f>IF(G455="","",Settings!$C$5)</f>
        <v/>
      </c>
      <c r="O455" s="3">
        <f>IF(G455="","",IF(F455="SELL",M455*IF(E455="Equity Intraday",Settings!$C$8,Settings!$C$7),0))</f>
        <v/>
      </c>
      <c r="P455" s="3">
        <f>IF(G455="","",M455*(Settings!$C$9+Settings!$C$10))</f>
        <v/>
      </c>
      <c r="Q455" s="3">
        <f>IF(G455="","",IF(F455="BUY",M455*Settings!$C$11,0))</f>
        <v/>
      </c>
      <c r="R455" s="3">
        <f>IF(G455="","",N455*Settings!$C$6)</f>
        <v/>
      </c>
      <c r="S455" s="3">
        <f>IF(G455="","",IF(AND(F455="SELL",E455="Equity Delivery"),Settings!$C$13,0))</f>
        <v/>
      </c>
      <c r="T455" s="3">
        <f>IF(G455="","",SUM(N455:S455))</f>
        <v/>
      </c>
      <c r="U455" s="3">
        <f>IF(G455="","",IF(F455="BUY",-(M455+T455),M455-T455))</f>
        <v/>
      </c>
      <c r="V455">
        <f>IF(G455="","",Settings!$C$4+SUM($U$2:U455))</f>
        <v/>
      </c>
    </row>
    <row r="456">
      <c r="A456">
        <f>IF(G456="","",ROW()-1)</f>
        <v/>
      </c>
      <c r="B456" s="8" t="n"/>
      <c r="G456" s="3" t="n"/>
      <c r="H456" s="3" t="n"/>
      <c r="I456" s="3" t="n"/>
      <c r="J456" s="3" t="n"/>
      <c r="K456" s="3" t="n"/>
      <c r="L456" s="3" t="n"/>
      <c r="M456" s="3">
        <f>IF(G456="","",G456*H456)</f>
        <v/>
      </c>
      <c r="N456" s="3">
        <f>IF(G456="","",Settings!$C$5)</f>
        <v/>
      </c>
      <c r="O456" s="3">
        <f>IF(G456="","",IF(F456="SELL",M456*IF(E456="Equity Intraday",Settings!$C$8,Settings!$C$7),0))</f>
        <v/>
      </c>
      <c r="P456" s="3">
        <f>IF(G456="","",M456*(Settings!$C$9+Settings!$C$10))</f>
        <v/>
      </c>
      <c r="Q456" s="3">
        <f>IF(G456="","",IF(F456="BUY",M456*Settings!$C$11,0))</f>
        <v/>
      </c>
      <c r="R456" s="3">
        <f>IF(G456="","",N456*Settings!$C$6)</f>
        <v/>
      </c>
      <c r="S456" s="3">
        <f>IF(G456="","",IF(AND(F456="SELL",E456="Equity Delivery"),Settings!$C$13,0))</f>
        <v/>
      </c>
      <c r="T456" s="3">
        <f>IF(G456="","",SUM(N456:S456))</f>
        <v/>
      </c>
      <c r="U456" s="3">
        <f>IF(G456="","",IF(F456="BUY",-(M456+T456),M456-T456))</f>
        <v/>
      </c>
      <c r="V456">
        <f>IF(G456="","",Settings!$C$4+SUM($U$2:U456))</f>
        <v/>
      </c>
    </row>
    <row r="457">
      <c r="A457">
        <f>IF(G457="","",ROW()-1)</f>
        <v/>
      </c>
      <c r="B457" s="8" t="n"/>
      <c r="G457" s="3" t="n"/>
      <c r="H457" s="3" t="n"/>
      <c r="I457" s="3" t="n"/>
      <c r="J457" s="3" t="n"/>
      <c r="K457" s="3" t="n"/>
      <c r="L457" s="3" t="n"/>
      <c r="M457" s="3">
        <f>IF(G457="","",G457*H457)</f>
        <v/>
      </c>
      <c r="N457" s="3">
        <f>IF(G457="","",Settings!$C$5)</f>
        <v/>
      </c>
      <c r="O457" s="3">
        <f>IF(G457="","",IF(F457="SELL",M457*IF(E457="Equity Intraday",Settings!$C$8,Settings!$C$7),0))</f>
        <v/>
      </c>
      <c r="P457" s="3">
        <f>IF(G457="","",M457*(Settings!$C$9+Settings!$C$10))</f>
        <v/>
      </c>
      <c r="Q457" s="3">
        <f>IF(G457="","",IF(F457="BUY",M457*Settings!$C$11,0))</f>
        <v/>
      </c>
      <c r="R457" s="3">
        <f>IF(G457="","",N457*Settings!$C$6)</f>
        <v/>
      </c>
      <c r="S457" s="3">
        <f>IF(G457="","",IF(AND(F457="SELL",E457="Equity Delivery"),Settings!$C$13,0))</f>
        <v/>
      </c>
      <c r="T457" s="3">
        <f>IF(G457="","",SUM(N457:S457))</f>
        <v/>
      </c>
      <c r="U457" s="3">
        <f>IF(G457="","",IF(F457="BUY",-(M457+T457),M457-T457))</f>
        <v/>
      </c>
      <c r="V457">
        <f>IF(G457="","",Settings!$C$4+SUM($U$2:U457))</f>
        <v/>
      </c>
    </row>
    <row r="458">
      <c r="A458">
        <f>IF(G458="","",ROW()-1)</f>
        <v/>
      </c>
      <c r="B458" s="8" t="n"/>
      <c r="G458" s="3" t="n"/>
      <c r="H458" s="3" t="n"/>
      <c r="I458" s="3" t="n"/>
      <c r="J458" s="3" t="n"/>
      <c r="K458" s="3" t="n"/>
      <c r="L458" s="3" t="n"/>
      <c r="M458" s="3">
        <f>IF(G458="","",G458*H458)</f>
        <v/>
      </c>
      <c r="N458" s="3">
        <f>IF(G458="","",Settings!$C$5)</f>
        <v/>
      </c>
      <c r="O458" s="3">
        <f>IF(G458="","",IF(F458="SELL",M458*IF(E458="Equity Intraday",Settings!$C$8,Settings!$C$7),0))</f>
        <v/>
      </c>
      <c r="P458" s="3">
        <f>IF(G458="","",M458*(Settings!$C$9+Settings!$C$10))</f>
        <v/>
      </c>
      <c r="Q458" s="3">
        <f>IF(G458="","",IF(F458="BUY",M458*Settings!$C$11,0))</f>
        <v/>
      </c>
      <c r="R458" s="3">
        <f>IF(G458="","",N458*Settings!$C$6)</f>
        <v/>
      </c>
      <c r="S458" s="3">
        <f>IF(G458="","",IF(AND(F458="SELL",E458="Equity Delivery"),Settings!$C$13,0))</f>
        <v/>
      </c>
      <c r="T458" s="3">
        <f>IF(G458="","",SUM(N458:S458))</f>
        <v/>
      </c>
      <c r="U458" s="3">
        <f>IF(G458="","",IF(F458="BUY",-(M458+T458),M458-T458))</f>
        <v/>
      </c>
      <c r="V458">
        <f>IF(G458="","",Settings!$C$4+SUM($U$2:U458))</f>
        <v/>
      </c>
    </row>
    <row r="459">
      <c r="A459">
        <f>IF(G459="","",ROW()-1)</f>
        <v/>
      </c>
      <c r="B459" s="8" t="n"/>
      <c r="G459" s="3" t="n"/>
      <c r="H459" s="3" t="n"/>
      <c r="I459" s="3" t="n"/>
      <c r="J459" s="3" t="n"/>
      <c r="K459" s="3" t="n"/>
      <c r="L459" s="3" t="n"/>
      <c r="M459" s="3">
        <f>IF(G459="","",G459*H459)</f>
        <v/>
      </c>
      <c r="N459" s="3">
        <f>IF(G459="","",Settings!$C$5)</f>
        <v/>
      </c>
      <c r="O459" s="3">
        <f>IF(G459="","",IF(F459="SELL",M459*IF(E459="Equity Intraday",Settings!$C$8,Settings!$C$7),0))</f>
        <v/>
      </c>
      <c r="P459" s="3">
        <f>IF(G459="","",M459*(Settings!$C$9+Settings!$C$10))</f>
        <v/>
      </c>
      <c r="Q459" s="3">
        <f>IF(G459="","",IF(F459="BUY",M459*Settings!$C$11,0))</f>
        <v/>
      </c>
      <c r="R459" s="3">
        <f>IF(G459="","",N459*Settings!$C$6)</f>
        <v/>
      </c>
      <c r="S459" s="3">
        <f>IF(G459="","",IF(AND(F459="SELL",E459="Equity Delivery"),Settings!$C$13,0))</f>
        <v/>
      </c>
      <c r="T459" s="3">
        <f>IF(G459="","",SUM(N459:S459))</f>
        <v/>
      </c>
      <c r="U459" s="3">
        <f>IF(G459="","",IF(F459="BUY",-(M459+T459),M459-T459))</f>
        <v/>
      </c>
      <c r="V459">
        <f>IF(G459="","",Settings!$C$4+SUM($U$2:U459))</f>
        <v/>
      </c>
    </row>
    <row r="460">
      <c r="A460">
        <f>IF(G460="","",ROW()-1)</f>
        <v/>
      </c>
      <c r="B460" s="8" t="n"/>
      <c r="G460" s="3" t="n"/>
      <c r="H460" s="3" t="n"/>
      <c r="I460" s="3" t="n"/>
      <c r="J460" s="3" t="n"/>
      <c r="K460" s="3" t="n"/>
      <c r="L460" s="3" t="n"/>
      <c r="M460" s="3">
        <f>IF(G460="","",G460*H460)</f>
        <v/>
      </c>
      <c r="N460" s="3">
        <f>IF(G460="","",Settings!$C$5)</f>
        <v/>
      </c>
      <c r="O460" s="3">
        <f>IF(G460="","",IF(F460="SELL",M460*IF(E460="Equity Intraday",Settings!$C$8,Settings!$C$7),0))</f>
        <v/>
      </c>
      <c r="P460" s="3">
        <f>IF(G460="","",M460*(Settings!$C$9+Settings!$C$10))</f>
        <v/>
      </c>
      <c r="Q460" s="3">
        <f>IF(G460="","",IF(F460="BUY",M460*Settings!$C$11,0))</f>
        <v/>
      </c>
      <c r="R460" s="3">
        <f>IF(G460="","",N460*Settings!$C$6)</f>
        <v/>
      </c>
      <c r="S460" s="3">
        <f>IF(G460="","",IF(AND(F460="SELL",E460="Equity Delivery"),Settings!$C$13,0))</f>
        <v/>
      </c>
      <c r="T460" s="3">
        <f>IF(G460="","",SUM(N460:S460))</f>
        <v/>
      </c>
      <c r="U460" s="3">
        <f>IF(G460="","",IF(F460="BUY",-(M460+T460),M460-T460))</f>
        <v/>
      </c>
      <c r="V460">
        <f>IF(G460="","",Settings!$C$4+SUM($U$2:U460))</f>
        <v/>
      </c>
    </row>
    <row r="461">
      <c r="A461">
        <f>IF(G461="","",ROW()-1)</f>
        <v/>
      </c>
      <c r="B461" s="8" t="n"/>
      <c r="G461" s="3" t="n"/>
      <c r="H461" s="3" t="n"/>
      <c r="I461" s="3" t="n"/>
      <c r="J461" s="3" t="n"/>
      <c r="K461" s="3" t="n"/>
      <c r="L461" s="3" t="n"/>
      <c r="M461" s="3">
        <f>IF(G461="","",G461*H461)</f>
        <v/>
      </c>
      <c r="N461" s="3">
        <f>IF(G461="","",Settings!$C$5)</f>
        <v/>
      </c>
      <c r="O461" s="3">
        <f>IF(G461="","",IF(F461="SELL",M461*IF(E461="Equity Intraday",Settings!$C$8,Settings!$C$7),0))</f>
        <v/>
      </c>
      <c r="P461" s="3">
        <f>IF(G461="","",M461*(Settings!$C$9+Settings!$C$10))</f>
        <v/>
      </c>
      <c r="Q461" s="3">
        <f>IF(G461="","",IF(F461="BUY",M461*Settings!$C$11,0))</f>
        <v/>
      </c>
      <c r="R461" s="3">
        <f>IF(G461="","",N461*Settings!$C$6)</f>
        <v/>
      </c>
      <c r="S461" s="3">
        <f>IF(G461="","",IF(AND(F461="SELL",E461="Equity Delivery"),Settings!$C$13,0))</f>
        <v/>
      </c>
      <c r="T461" s="3">
        <f>IF(G461="","",SUM(N461:S461))</f>
        <v/>
      </c>
      <c r="U461" s="3">
        <f>IF(G461="","",IF(F461="BUY",-(M461+T461),M461-T461))</f>
        <v/>
      </c>
      <c r="V461">
        <f>IF(G461="","",Settings!$C$4+SUM($U$2:U461))</f>
        <v/>
      </c>
    </row>
    <row r="462">
      <c r="A462">
        <f>IF(G462="","",ROW()-1)</f>
        <v/>
      </c>
      <c r="B462" s="8" t="n"/>
      <c r="G462" s="3" t="n"/>
      <c r="H462" s="3" t="n"/>
      <c r="I462" s="3" t="n"/>
      <c r="J462" s="3" t="n"/>
      <c r="K462" s="3" t="n"/>
      <c r="L462" s="3" t="n"/>
      <c r="M462" s="3">
        <f>IF(G462="","",G462*H462)</f>
        <v/>
      </c>
      <c r="N462" s="3">
        <f>IF(G462="","",Settings!$C$5)</f>
        <v/>
      </c>
      <c r="O462" s="3">
        <f>IF(G462="","",IF(F462="SELL",M462*IF(E462="Equity Intraday",Settings!$C$8,Settings!$C$7),0))</f>
        <v/>
      </c>
      <c r="P462" s="3">
        <f>IF(G462="","",M462*(Settings!$C$9+Settings!$C$10))</f>
        <v/>
      </c>
      <c r="Q462" s="3">
        <f>IF(G462="","",IF(F462="BUY",M462*Settings!$C$11,0))</f>
        <v/>
      </c>
      <c r="R462" s="3">
        <f>IF(G462="","",N462*Settings!$C$6)</f>
        <v/>
      </c>
      <c r="S462" s="3">
        <f>IF(G462="","",IF(AND(F462="SELL",E462="Equity Delivery"),Settings!$C$13,0))</f>
        <v/>
      </c>
      <c r="T462" s="3">
        <f>IF(G462="","",SUM(N462:S462))</f>
        <v/>
      </c>
      <c r="U462" s="3">
        <f>IF(G462="","",IF(F462="BUY",-(M462+T462),M462-T462))</f>
        <v/>
      </c>
      <c r="V462">
        <f>IF(G462="","",Settings!$C$4+SUM($U$2:U462))</f>
        <v/>
      </c>
    </row>
    <row r="463">
      <c r="A463">
        <f>IF(G463="","",ROW()-1)</f>
        <v/>
      </c>
      <c r="B463" s="8" t="n"/>
      <c r="G463" s="3" t="n"/>
      <c r="H463" s="3" t="n"/>
      <c r="I463" s="3" t="n"/>
      <c r="J463" s="3" t="n"/>
      <c r="K463" s="3" t="n"/>
      <c r="L463" s="3" t="n"/>
      <c r="M463" s="3">
        <f>IF(G463="","",G463*H463)</f>
        <v/>
      </c>
      <c r="N463" s="3">
        <f>IF(G463="","",Settings!$C$5)</f>
        <v/>
      </c>
      <c r="O463" s="3">
        <f>IF(G463="","",IF(F463="SELL",M463*IF(E463="Equity Intraday",Settings!$C$8,Settings!$C$7),0))</f>
        <v/>
      </c>
      <c r="P463" s="3">
        <f>IF(G463="","",M463*(Settings!$C$9+Settings!$C$10))</f>
        <v/>
      </c>
      <c r="Q463" s="3">
        <f>IF(G463="","",IF(F463="BUY",M463*Settings!$C$11,0))</f>
        <v/>
      </c>
      <c r="R463" s="3">
        <f>IF(G463="","",N463*Settings!$C$6)</f>
        <v/>
      </c>
      <c r="S463" s="3">
        <f>IF(G463="","",IF(AND(F463="SELL",E463="Equity Delivery"),Settings!$C$13,0))</f>
        <v/>
      </c>
      <c r="T463" s="3">
        <f>IF(G463="","",SUM(N463:S463))</f>
        <v/>
      </c>
      <c r="U463" s="3">
        <f>IF(G463="","",IF(F463="BUY",-(M463+T463),M463-T463))</f>
        <v/>
      </c>
      <c r="V463">
        <f>IF(G463="","",Settings!$C$4+SUM($U$2:U463))</f>
        <v/>
      </c>
    </row>
    <row r="464">
      <c r="A464">
        <f>IF(G464="","",ROW()-1)</f>
        <v/>
      </c>
      <c r="B464" s="8" t="n"/>
      <c r="G464" s="3" t="n"/>
      <c r="H464" s="3" t="n"/>
      <c r="I464" s="3" t="n"/>
      <c r="J464" s="3" t="n"/>
      <c r="K464" s="3" t="n"/>
      <c r="L464" s="3" t="n"/>
      <c r="M464" s="3">
        <f>IF(G464="","",G464*H464)</f>
        <v/>
      </c>
      <c r="N464" s="3">
        <f>IF(G464="","",Settings!$C$5)</f>
        <v/>
      </c>
      <c r="O464" s="3">
        <f>IF(G464="","",IF(F464="SELL",M464*IF(E464="Equity Intraday",Settings!$C$8,Settings!$C$7),0))</f>
        <v/>
      </c>
      <c r="P464" s="3">
        <f>IF(G464="","",M464*(Settings!$C$9+Settings!$C$10))</f>
        <v/>
      </c>
      <c r="Q464" s="3">
        <f>IF(G464="","",IF(F464="BUY",M464*Settings!$C$11,0))</f>
        <v/>
      </c>
      <c r="R464" s="3">
        <f>IF(G464="","",N464*Settings!$C$6)</f>
        <v/>
      </c>
      <c r="S464" s="3">
        <f>IF(G464="","",IF(AND(F464="SELL",E464="Equity Delivery"),Settings!$C$13,0))</f>
        <v/>
      </c>
      <c r="T464" s="3">
        <f>IF(G464="","",SUM(N464:S464))</f>
        <v/>
      </c>
      <c r="U464" s="3">
        <f>IF(G464="","",IF(F464="BUY",-(M464+T464),M464-T464))</f>
        <v/>
      </c>
      <c r="V464">
        <f>IF(G464="","",Settings!$C$4+SUM($U$2:U464))</f>
        <v/>
      </c>
    </row>
    <row r="465">
      <c r="A465">
        <f>IF(G465="","",ROW()-1)</f>
        <v/>
      </c>
      <c r="B465" s="8" t="n"/>
      <c r="G465" s="3" t="n"/>
      <c r="H465" s="3" t="n"/>
      <c r="I465" s="3" t="n"/>
      <c r="J465" s="3" t="n"/>
      <c r="K465" s="3" t="n"/>
      <c r="L465" s="3" t="n"/>
      <c r="M465" s="3">
        <f>IF(G465="","",G465*H465)</f>
        <v/>
      </c>
      <c r="N465" s="3">
        <f>IF(G465="","",Settings!$C$5)</f>
        <v/>
      </c>
      <c r="O465" s="3">
        <f>IF(G465="","",IF(F465="SELL",M465*IF(E465="Equity Intraday",Settings!$C$8,Settings!$C$7),0))</f>
        <v/>
      </c>
      <c r="P465" s="3">
        <f>IF(G465="","",M465*(Settings!$C$9+Settings!$C$10))</f>
        <v/>
      </c>
      <c r="Q465" s="3">
        <f>IF(G465="","",IF(F465="BUY",M465*Settings!$C$11,0))</f>
        <v/>
      </c>
      <c r="R465" s="3">
        <f>IF(G465="","",N465*Settings!$C$6)</f>
        <v/>
      </c>
      <c r="S465" s="3">
        <f>IF(G465="","",IF(AND(F465="SELL",E465="Equity Delivery"),Settings!$C$13,0))</f>
        <v/>
      </c>
      <c r="T465" s="3">
        <f>IF(G465="","",SUM(N465:S465))</f>
        <v/>
      </c>
      <c r="U465" s="3">
        <f>IF(G465="","",IF(F465="BUY",-(M465+T465),M465-T465))</f>
        <v/>
      </c>
      <c r="V465">
        <f>IF(G465="","",Settings!$C$4+SUM($U$2:U465))</f>
        <v/>
      </c>
    </row>
    <row r="466">
      <c r="A466">
        <f>IF(G466="","",ROW()-1)</f>
        <v/>
      </c>
      <c r="B466" s="8" t="n"/>
      <c r="G466" s="3" t="n"/>
      <c r="H466" s="3" t="n"/>
      <c r="I466" s="3" t="n"/>
      <c r="J466" s="3" t="n"/>
      <c r="K466" s="3" t="n"/>
      <c r="L466" s="3" t="n"/>
      <c r="M466" s="3">
        <f>IF(G466="","",G466*H466)</f>
        <v/>
      </c>
      <c r="N466" s="3">
        <f>IF(G466="","",Settings!$C$5)</f>
        <v/>
      </c>
      <c r="O466" s="3">
        <f>IF(G466="","",IF(F466="SELL",M466*IF(E466="Equity Intraday",Settings!$C$8,Settings!$C$7),0))</f>
        <v/>
      </c>
      <c r="P466" s="3">
        <f>IF(G466="","",M466*(Settings!$C$9+Settings!$C$10))</f>
        <v/>
      </c>
      <c r="Q466" s="3">
        <f>IF(G466="","",IF(F466="BUY",M466*Settings!$C$11,0))</f>
        <v/>
      </c>
      <c r="R466" s="3">
        <f>IF(G466="","",N466*Settings!$C$6)</f>
        <v/>
      </c>
      <c r="S466" s="3">
        <f>IF(G466="","",IF(AND(F466="SELL",E466="Equity Delivery"),Settings!$C$13,0))</f>
        <v/>
      </c>
      <c r="T466" s="3">
        <f>IF(G466="","",SUM(N466:S466))</f>
        <v/>
      </c>
      <c r="U466" s="3">
        <f>IF(G466="","",IF(F466="BUY",-(M466+T466),M466-T466))</f>
        <v/>
      </c>
      <c r="V466">
        <f>IF(G466="","",Settings!$C$4+SUM($U$2:U466))</f>
        <v/>
      </c>
    </row>
    <row r="467">
      <c r="A467">
        <f>IF(G467="","",ROW()-1)</f>
        <v/>
      </c>
      <c r="B467" s="8" t="n"/>
      <c r="G467" s="3" t="n"/>
      <c r="H467" s="3" t="n"/>
      <c r="I467" s="3" t="n"/>
      <c r="J467" s="3" t="n"/>
      <c r="K467" s="3" t="n"/>
      <c r="L467" s="3" t="n"/>
      <c r="M467" s="3">
        <f>IF(G467="","",G467*H467)</f>
        <v/>
      </c>
      <c r="N467" s="3">
        <f>IF(G467="","",Settings!$C$5)</f>
        <v/>
      </c>
      <c r="O467" s="3">
        <f>IF(G467="","",IF(F467="SELL",M467*IF(E467="Equity Intraday",Settings!$C$8,Settings!$C$7),0))</f>
        <v/>
      </c>
      <c r="P467" s="3">
        <f>IF(G467="","",M467*(Settings!$C$9+Settings!$C$10))</f>
        <v/>
      </c>
      <c r="Q467" s="3">
        <f>IF(G467="","",IF(F467="BUY",M467*Settings!$C$11,0))</f>
        <v/>
      </c>
      <c r="R467" s="3">
        <f>IF(G467="","",N467*Settings!$C$6)</f>
        <v/>
      </c>
      <c r="S467" s="3">
        <f>IF(G467="","",IF(AND(F467="SELL",E467="Equity Delivery"),Settings!$C$13,0))</f>
        <v/>
      </c>
      <c r="T467" s="3">
        <f>IF(G467="","",SUM(N467:S467))</f>
        <v/>
      </c>
      <c r="U467" s="3">
        <f>IF(G467="","",IF(F467="BUY",-(M467+T467),M467-T467))</f>
        <v/>
      </c>
      <c r="V467">
        <f>IF(G467="","",Settings!$C$4+SUM($U$2:U467))</f>
        <v/>
      </c>
    </row>
    <row r="468">
      <c r="A468">
        <f>IF(G468="","",ROW()-1)</f>
        <v/>
      </c>
      <c r="B468" s="8" t="n"/>
      <c r="G468" s="3" t="n"/>
      <c r="H468" s="3" t="n"/>
      <c r="I468" s="3" t="n"/>
      <c r="J468" s="3" t="n"/>
      <c r="K468" s="3" t="n"/>
      <c r="L468" s="3" t="n"/>
      <c r="M468" s="3">
        <f>IF(G468="","",G468*H468)</f>
        <v/>
      </c>
      <c r="N468" s="3">
        <f>IF(G468="","",Settings!$C$5)</f>
        <v/>
      </c>
      <c r="O468" s="3">
        <f>IF(G468="","",IF(F468="SELL",M468*IF(E468="Equity Intraday",Settings!$C$8,Settings!$C$7),0))</f>
        <v/>
      </c>
      <c r="P468" s="3">
        <f>IF(G468="","",M468*(Settings!$C$9+Settings!$C$10))</f>
        <v/>
      </c>
      <c r="Q468" s="3">
        <f>IF(G468="","",IF(F468="BUY",M468*Settings!$C$11,0))</f>
        <v/>
      </c>
      <c r="R468" s="3">
        <f>IF(G468="","",N468*Settings!$C$6)</f>
        <v/>
      </c>
      <c r="S468" s="3">
        <f>IF(G468="","",IF(AND(F468="SELL",E468="Equity Delivery"),Settings!$C$13,0))</f>
        <v/>
      </c>
      <c r="T468" s="3">
        <f>IF(G468="","",SUM(N468:S468))</f>
        <v/>
      </c>
      <c r="U468" s="3">
        <f>IF(G468="","",IF(F468="BUY",-(M468+T468),M468-T468))</f>
        <v/>
      </c>
      <c r="V468">
        <f>IF(G468="","",Settings!$C$4+SUM($U$2:U468))</f>
        <v/>
      </c>
    </row>
    <row r="469">
      <c r="A469">
        <f>IF(G469="","",ROW()-1)</f>
        <v/>
      </c>
      <c r="B469" s="8" t="n"/>
      <c r="G469" s="3" t="n"/>
      <c r="H469" s="3" t="n"/>
      <c r="I469" s="3" t="n"/>
      <c r="J469" s="3" t="n"/>
      <c r="K469" s="3" t="n"/>
      <c r="L469" s="3" t="n"/>
      <c r="M469" s="3">
        <f>IF(G469="","",G469*H469)</f>
        <v/>
      </c>
      <c r="N469" s="3">
        <f>IF(G469="","",Settings!$C$5)</f>
        <v/>
      </c>
      <c r="O469" s="3">
        <f>IF(G469="","",IF(F469="SELL",M469*IF(E469="Equity Intraday",Settings!$C$8,Settings!$C$7),0))</f>
        <v/>
      </c>
      <c r="P469" s="3">
        <f>IF(G469="","",M469*(Settings!$C$9+Settings!$C$10))</f>
        <v/>
      </c>
      <c r="Q469" s="3">
        <f>IF(G469="","",IF(F469="BUY",M469*Settings!$C$11,0))</f>
        <v/>
      </c>
      <c r="R469" s="3">
        <f>IF(G469="","",N469*Settings!$C$6)</f>
        <v/>
      </c>
      <c r="S469" s="3">
        <f>IF(G469="","",IF(AND(F469="SELL",E469="Equity Delivery"),Settings!$C$13,0))</f>
        <v/>
      </c>
      <c r="T469" s="3">
        <f>IF(G469="","",SUM(N469:S469))</f>
        <v/>
      </c>
      <c r="U469" s="3">
        <f>IF(G469="","",IF(F469="BUY",-(M469+T469),M469-T469))</f>
        <v/>
      </c>
      <c r="V469">
        <f>IF(G469="","",Settings!$C$4+SUM($U$2:U469))</f>
        <v/>
      </c>
    </row>
    <row r="470">
      <c r="A470">
        <f>IF(G470="","",ROW()-1)</f>
        <v/>
      </c>
      <c r="B470" s="8" t="n"/>
      <c r="G470" s="3" t="n"/>
      <c r="H470" s="3" t="n"/>
      <c r="I470" s="3" t="n"/>
      <c r="J470" s="3" t="n"/>
      <c r="K470" s="3" t="n"/>
      <c r="L470" s="3" t="n"/>
      <c r="M470" s="3">
        <f>IF(G470="","",G470*H470)</f>
        <v/>
      </c>
      <c r="N470" s="3">
        <f>IF(G470="","",Settings!$C$5)</f>
        <v/>
      </c>
      <c r="O470" s="3">
        <f>IF(G470="","",IF(F470="SELL",M470*IF(E470="Equity Intraday",Settings!$C$8,Settings!$C$7),0))</f>
        <v/>
      </c>
      <c r="P470" s="3">
        <f>IF(G470="","",M470*(Settings!$C$9+Settings!$C$10))</f>
        <v/>
      </c>
      <c r="Q470" s="3">
        <f>IF(G470="","",IF(F470="BUY",M470*Settings!$C$11,0))</f>
        <v/>
      </c>
      <c r="R470" s="3">
        <f>IF(G470="","",N470*Settings!$C$6)</f>
        <v/>
      </c>
      <c r="S470" s="3">
        <f>IF(G470="","",IF(AND(F470="SELL",E470="Equity Delivery"),Settings!$C$13,0))</f>
        <v/>
      </c>
      <c r="T470" s="3">
        <f>IF(G470="","",SUM(N470:S470))</f>
        <v/>
      </c>
      <c r="U470" s="3">
        <f>IF(G470="","",IF(F470="BUY",-(M470+T470),M470-T470))</f>
        <v/>
      </c>
      <c r="V470">
        <f>IF(G470="","",Settings!$C$4+SUM($U$2:U470))</f>
        <v/>
      </c>
    </row>
    <row r="471">
      <c r="A471">
        <f>IF(G471="","",ROW()-1)</f>
        <v/>
      </c>
      <c r="B471" s="8" t="n"/>
      <c r="G471" s="3" t="n"/>
      <c r="H471" s="3" t="n"/>
      <c r="I471" s="3" t="n"/>
      <c r="J471" s="3" t="n"/>
      <c r="K471" s="3" t="n"/>
      <c r="L471" s="3" t="n"/>
      <c r="M471" s="3">
        <f>IF(G471="","",G471*H471)</f>
        <v/>
      </c>
      <c r="N471" s="3">
        <f>IF(G471="","",Settings!$C$5)</f>
        <v/>
      </c>
      <c r="O471" s="3">
        <f>IF(G471="","",IF(F471="SELL",M471*IF(E471="Equity Intraday",Settings!$C$8,Settings!$C$7),0))</f>
        <v/>
      </c>
      <c r="P471" s="3">
        <f>IF(G471="","",M471*(Settings!$C$9+Settings!$C$10))</f>
        <v/>
      </c>
      <c r="Q471" s="3">
        <f>IF(G471="","",IF(F471="BUY",M471*Settings!$C$11,0))</f>
        <v/>
      </c>
      <c r="R471" s="3">
        <f>IF(G471="","",N471*Settings!$C$6)</f>
        <v/>
      </c>
      <c r="S471" s="3">
        <f>IF(G471="","",IF(AND(F471="SELL",E471="Equity Delivery"),Settings!$C$13,0))</f>
        <v/>
      </c>
      <c r="T471" s="3">
        <f>IF(G471="","",SUM(N471:S471))</f>
        <v/>
      </c>
      <c r="U471" s="3">
        <f>IF(G471="","",IF(F471="BUY",-(M471+T471),M471-T471))</f>
        <v/>
      </c>
      <c r="V471">
        <f>IF(G471="","",Settings!$C$4+SUM($U$2:U471))</f>
        <v/>
      </c>
    </row>
    <row r="472">
      <c r="A472">
        <f>IF(G472="","",ROW()-1)</f>
        <v/>
      </c>
      <c r="B472" s="8" t="n"/>
      <c r="G472" s="3" t="n"/>
      <c r="H472" s="3" t="n"/>
      <c r="I472" s="3" t="n"/>
      <c r="J472" s="3" t="n"/>
      <c r="K472" s="3" t="n"/>
      <c r="L472" s="3" t="n"/>
      <c r="M472" s="3">
        <f>IF(G472="","",G472*H472)</f>
        <v/>
      </c>
      <c r="N472" s="3">
        <f>IF(G472="","",Settings!$C$5)</f>
        <v/>
      </c>
      <c r="O472" s="3">
        <f>IF(G472="","",IF(F472="SELL",M472*IF(E472="Equity Intraday",Settings!$C$8,Settings!$C$7),0))</f>
        <v/>
      </c>
      <c r="P472" s="3">
        <f>IF(G472="","",M472*(Settings!$C$9+Settings!$C$10))</f>
        <v/>
      </c>
      <c r="Q472" s="3">
        <f>IF(G472="","",IF(F472="BUY",M472*Settings!$C$11,0))</f>
        <v/>
      </c>
      <c r="R472" s="3">
        <f>IF(G472="","",N472*Settings!$C$6)</f>
        <v/>
      </c>
      <c r="S472" s="3">
        <f>IF(G472="","",IF(AND(F472="SELL",E472="Equity Delivery"),Settings!$C$13,0))</f>
        <v/>
      </c>
      <c r="T472" s="3">
        <f>IF(G472="","",SUM(N472:S472))</f>
        <v/>
      </c>
      <c r="U472" s="3">
        <f>IF(G472="","",IF(F472="BUY",-(M472+T472),M472-T472))</f>
        <v/>
      </c>
      <c r="V472">
        <f>IF(G472="","",Settings!$C$4+SUM($U$2:U472))</f>
        <v/>
      </c>
    </row>
    <row r="473">
      <c r="A473">
        <f>IF(G473="","",ROW()-1)</f>
        <v/>
      </c>
      <c r="B473" s="8" t="n"/>
      <c r="G473" s="3" t="n"/>
      <c r="H473" s="3" t="n"/>
      <c r="I473" s="3" t="n"/>
      <c r="J473" s="3" t="n"/>
      <c r="K473" s="3" t="n"/>
      <c r="L473" s="3" t="n"/>
      <c r="M473" s="3">
        <f>IF(G473="","",G473*H473)</f>
        <v/>
      </c>
      <c r="N473" s="3">
        <f>IF(G473="","",Settings!$C$5)</f>
        <v/>
      </c>
      <c r="O473" s="3">
        <f>IF(G473="","",IF(F473="SELL",M473*IF(E473="Equity Intraday",Settings!$C$8,Settings!$C$7),0))</f>
        <v/>
      </c>
      <c r="P473" s="3">
        <f>IF(G473="","",M473*(Settings!$C$9+Settings!$C$10))</f>
        <v/>
      </c>
      <c r="Q473" s="3">
        <f>IF(G473="","",IF(F473="BUY",M473*Settings!$C$11,0))</f>
        <v/>
      </c>
      <c r="R473" s="3">
        <f>IF(G473="","",N473*Settings!$C$6)</f>
        <v/>
      </c>
      <c r="S473" s="3">
        <f>IF(G473="","",IF(AND(F473="SELL",E473="Equity Delivery"),Settings!$C$13,0))</f>
        <v/>
      </c>
      <c r="T473" s="3">
        <f>IF(G473="","",SUM(N473:S473))</f>
        <v/>
      </c>
      <c r="U473" s="3">
        <f>IF(G473="","",IF(F473="BUY",-(M473+T473),M473-T473))</f>
        <v/>
      </c>
      <c r="V473">
        <f>IF(G473="","",Settings!$C$4+SUM($U$2:U473))</f>
        <v/>
      </c>
    </row>
    <row r="474">
      <c r="A474">
        <f>IF(G474="","",ROW()-1)</f>
        <v/>
      </c>
      <c r="B474" s="8" t="n"/>
      <c r="G474" s="3" t="n"/>
      <c r="H474" s="3" t="n"/>
      <c r="I474" s="3" t="n"/>
      <c r="J474" s="3" t="n"/>
      <c r="K474" s="3" t="n"/>
      <c r="L474" s="3" t="n"/>
      <c r="M474" s="3">
        <f>IF(G474="","",G474*H474)</f>
        <v/>
      </c>
      <c r="N474" s="3">
        <f>IF(G474="","",Settings!$C$5)</f>
        <v/>
      </c>
      <c r="O474" s="3">
        <f>IF(G474="","",IF(F474="SELL",M474*IF(E474="Equity Intraday",Settings!$C$8,Settings!$C$7),0))</f>
        <v/>
      </c>
      <c r="P474" s="3">
        <f>IF(G474="","",M474*(Settings!$C$9+Settings!$C$10))</f>
        <v/>
      </c>
      <c r="Q474" s="3">
        <f>IF(G474="","",IF(F474="BUY",M474*Settings!$C$11,0))</f>
        <v/>
      </c>
      <c r="R474" s="3">
        <f>IF(G474="","",N474*Settings!$C$6)</f>
        <v/>
      </c>
      <c r="S474" s="3">
        <f>IF(G474="","",IF(AND(F474="SELL",E474="Equity Delivery"),Settings!$C$13,0))</f>
        <v/>
      </c>
      <c r="T474" s="3">
        <f>IF(G474="","",SUM(N474:S474))</f>
        <v/>
      </c>
      <c r="U474" s="3">
        <f>IF(G474="","",IF(F474="BUY",-(M474+T474),M474-T474))</f>
        <v/>
      </c>
      <c r="V474">
        <f>IF(G474="","",Settings!$C$4+SUM($U$2:U474))</f>
        <v/>
      </c>
    </row>
    <row r="475">
      <c r="A475">
        <f>IF(G475="","",ROW()-1)</f>
        <v/>
      </c>
      <c r="B475" s="8" t="n"/>
      <c r="G475" s="3" t="n"/>
      <c r="H475" s="3" t="n"/>
      <c r="I475" s="3" t="n"/>
      <c r="J475" s="3" t="n"/>
      <c r="K475" s="3" t="n"/>
      <c r="L475" s="3" t="n"/>
      <c r="M475" s="3">
        <f>IF(G475="","",G475*H475)</f>
        <v/>
      </c>
      <c r="N475" s="3">
        <f>IF(G475="","",Settings!$C$5)</f>
        <v/>
      </c>
      <c r="O475" s="3">
        <f>IF(G475="","",IF(F475="SELL",M475*IF(E475="Equity Intraday",Settings!$C$8,Settings!$C$7),0))</f>
        <v/>
      </c>
      <c r="P475" s="3">
        <f>IF(G475="","",M475*(Settings!$C$9+Settings!$C$10))</f>
        <v/>
      </c>
      <c r="Q475" s="3">
        <f>IF(G475="","",IF(F475="BUY",M475*Settings!$C$11,0))</f>
        <v/>
      </c>
      <c r="R475" s="3">
        <f>IF(G475="","",N475*Settings!$C$6)</f>
        <v/>
      </c>
      <c r="S475" s="3">
        <f>IF(G475="","",IF(AND(F475="SELL",E475="Equity Delivery"),Settings!$C$13,0))</f>
        <v/>
      </c>
      <c r="T475" s="3">
        <f>IF(G475="","",SUM(N475:S475))</f>
        <v/>
      </c>
      <c r="U475" s="3">
        <f>IF(G475="","",IF(F475="BUY",-(M475+T475),M475-T475))</f>
        <v/>
      </c>
      <c r="V475">
        <f>IF(G475="","",Settings!$C$4+SUM($U$2:U475))</f>
        <v/>
      </c>
    </row>
    <row r="476">
      <c r="A476">
        <f>IF(G476="","",ROW()-1)</f>
        <v/>
      </c>
      <c r="B476" s="8" t="n"/>
      <c r="G476" s="3" t="n"/>
      <c r="H476" s="3" t="n"/>
      <c r="I476" s="3" t="n"/>
      <c r="J476" s="3" t="n"/>
      <c r="K476" s="3" t="n"/>
      <c r="L476" s="3" t="n"/>
      <c r="M476" s="3">
        <f>IF(G476="","",G476*H476)</f>
        <v/>
      </c>
      <c r="N476" s="3">
        <f>IF(G476="","",Settings!$C$5)</f>
        <v/>
      </c>
      <c r="O476" s="3">
        <f>IF(G476="","",IF(F476="SELL",M476*IF(E476="Equity Intraday",Settings!$C$8,Settings!$C$7),0))</f>
        <v/>
      </c>
      <c r="P476" s="3">
        <f>IF(G476="","",M476*(Settings!$C$9+Settings!$C$10))</f>
        <v/>
      </c>
      <c r="Q476" s="3">
        <f>IF(G476="","",IF(F476="BUY",M476*Settings!$C$11,0))</f>
        <v/>
      </c>
      <c r="R476" s="3">
        <f>IF(G476="","",N476*Settings!$C$6)</f>
        <v/>
      </c>
      <c r="S476" s="3">
        <f>IF(G476="","",IF(AND(F476="SELL",E476="Equity Delivery"),Settings!$C$13,0))</f>
        <v/>
      </c>
      <c r="T476" s="3">
        <f>IF(G476="","",SUM(N476:S476))</f>
        <v/>
      </c>
      <c r="U476" s="3">
        <f>IF(G476="","",IF(F476="BUY",-(M476+T476),M476-T476))</f>
        <v/>
      </c>
      <c r="V476">
        <f>IF(G476="","",Settings!$C$4+SUM($U$2:U476))</f>
        <v/>
      </c>
    </row>
    <row r="477">
      <c r="A477">
        <f>IF(G477="","",ROW()-1)</f>
        <v/>
      </c>
      <c r="B477" s="8" t="n"/>
      <c r="G477" s="3" t="n"/>
      <c r="H477" s="3" t="n"/>
      <c r="I477" s="3" t="n"/>
      <c r="J477" s="3" t="n"/>
      <c r="K477" s="3" t="n"/>
      <c r="L477" s="3" t="n"/>
      <c r="M477" s="3">
        <f>IF(G477="","",G477*H477)</f>
        <v/>
      </c>
      <c r="N477" s="3">
        <f>IF(G477="","",Settings!$C$5)</f>
        <v/>
      </c>
      <c r="O477" s="3">
        <f>IF(G477="","",IF(F477="SELL",M477*IF(E477="Equity Intraday",Settings!$C$8,Settings!$C$7),0))</f>
        <v/>
      </c>
      <c r="P477" s="3">
        <f>IF(G477="","",M477*(Settings!$C$9+Settings!$C$10))</f>
        <v/>
      </c>
      <c r="Q477" s="3">
        <f>IF(G477="","",IF(F477="BUY",M477*Settings!$C$11,0))</f>
        <v/>
      </c>
      <c r="R477" s="3">
        <f>IF(G477="","",N477*Settings!$C$6)</f>
        <v/>
      </c>
      <c r="S477" s="3">
        <f>IF(G477="","",IF(AND(F477="SELL",E477="Equity Delivery"),Settings!$C$13,0))</f>
        <v/>
      </c>
      <c r="T477" s="3">
        <f>IF(G477="","",SUM(N477:S477))</f>
        <v/>
      </c>
      <c r="U477" s="3">
        <f>IF(G477="","",IF(F477="BUY",-(M477+T477),M477-T477))</f>
        <v/>
      </c>
      <c r="V477">
        <f>IF(G477="","",Settings!$C$4+SUM($U$2:U477))</f>
        <v/>
      </c>
    </row>
    <row r="478">
      <c r="A478">
        <f>IF(G478="","",ROW()-1)</f>
        <v/>
      </c>
      <c r="B478" s="8" t="n"/>
      <c r="G478" s="3" t="n"/>
      <c r="H478" s="3" t="n"/>
      <c r="I478" s="3" t="n"/>
      <c r="J478" s="3" t="n"/>
      <c r="K478" s="3" t="n"/>
      <c r="L478" s="3" t="n"/>
      <c r="M478" s="3">
        <f>IF(G478="","",G478*H478)</f>
        <v/>
      </c>
      <c r="N478" s="3">
        <f>IF(G478="","",Settings!$C$5)</f>
        <v/>
      </c>
      <c r="O478" s="3">
        <f>IF(G478="","",IF(F478="SELL",M478*IF(E478="Equity Intraday",Settings!$C$8,Settings!$C$7),0))</f>
        <v/>
      </c>
      <c r="P478" s="3">
        <f>IF(G478="","",M478*(Settings!$C$9+Settings!$C$10))</f>
        <v/>
      </c>
      <c r="Q478" s="3">
        <f>IF(G478="","",IF(F478="BUY",M478*Settings!$C$11,0))</f>
        <v/>
      </c>
      <c r="R478" s="3">
        <f>IF(G478="","",N478*Settings!$C$6)</f>
        <v/>
      </c>
      <c r="S478" s="3">
        <f>IF(G478="","",IF(AND(F478="SELL",E478="Equity Delivery"),Settings!$C$13,0))</f>
        <v/>
      </c>
      <c r="T478" s="3">
        <f>IF(G478="","",SUM(N478:S478))</f>
        <v/>
      </c>
      <c r="U478" s="3">
        <f>IF(G478="","",IF(F478="BUY",-(M478+T478),M478-T478))</f>
        <v/>
      </c>
      <c r="V478">
        <f>IF(G478="","",Settings!$C$4+SUM($U$2:U478))</f>
        <v/>
      </c>
    </row>
    <row r="479">
      <c r="A479">
        <f>IF(G479="","",ROW()-1)</f>
        <v/>
      </c>
      <c r="B479" s="8" t="n"/>
      <c r="G479" s="3" t="n"/>
      <c r="H479" s="3" t="n"/>
      <c r="I479" s="3" t="n"/>
      <c r="J479" s="3" t="n"/>
      <c r="K479" s="3" t="n"/>
      <c r="L479" s="3" t="n"/>
      <c r="M479" s="3">
        <f>IF(G479="","",G479*H479)</f>
        <v/>
      </c>
      <c r="N479" s="3">
        <f>IF(G479="","",Settings!$C$5)</f>
        <v/>
      </c>
      <c r="O479" s="3">
        <f>IF(G479="","",IF(F479="SELL",M479*IF(E479="Equity Intraday",Settings!$C$8,Settings!$C$7),0))</f>
        <v/>
      </c>
      <c r="P479" s="3">
        <f>IF(G479="","",M479*(Settings!$C$9+Settings!$C$10))</f>
        <v/>
      </c>
      <c r="Q479" s="3">
        <f>IF(G479="","",IF(F479="BUY",M479*Settings!$C$11,0))</f>
        <v/>
      </c>
      <c r="R479" s="3">
        <f>IF(G479="","",N479*Settings!$C$6)</f>
        <v/>
      </c>
      <c r="S479" s="3">
        <f>IF(G479="","",IF(AND(F479="SELL",E479="Equity Delivery"),Settings!$C$13,0))</f>
        <v/>
      </c>
      <c r="T479" s="3">
        <f>IF(G479="","",SUM(N479:S479))</f>
        <v/>
      </c>
      <c r="U479" s="3">
        <f>IF(G479="","",IF(F479="BUY",-(M479+T479),M479-T479))</f>
        <v/>
      </c>
      <c r="V479">
        <f>IF(G479="","",Settings!$C$4+SUM($U$2:U479))</f>
        <v/>
      </c>
    </row>
    <row r="480">
      <c r="A480">
        <f>IF(G480="","",ROW()-1)</f>
        <v/>
      </c>
      <c r="B480" s="8" t="n"/>
      <c r="G480" s="3" t="n"/>
      <c r="H480" s="3" t="n"/>
      <c r="I480" s="3" t="n"/>
      <c r="J480" s="3" t="n"/>
      <c r="K480" s="3" t="n"/>
      <c r="L480" s="3" t="n"/>
      <c r="M480" s="3">
        <f>IF(G480="","",G480*H480)</f>
        <v/>
      </c>
      <c r="N480" s="3">
        <f>IF(G480="","",Settings!$C$5)</f>
        <v/>
      </c>
      <c r="O480" s="3">
        <f>IF(G480="","",IF(F480="SELL",M480*IF(E480="Equity Intraday",Settings!$C$8,Settings!$C$7),0))</f>
        <v/>
      </c>
      <c r="P480" s="3">
        <f>IF(G480="","",M480*(Settings!$C$9+Settings!$C$10))</f>
        <v/>
      </c>
      <c r="Q480" s="3">
        <f>IF(G480="","",IF(F480="BUY",M480*Settings!$C$11,0))</f>
        <v/>
      </c>
      <c r="R480" s="3">
        <f>IF(G480="","",N480*Settings!$C$6)</f>
        <v/>
      </c>
      <c r="S480" s="3">
        <f>IF(G480="","",IF(AND(F480="SELL",E480="Equity Delivery"),Settings!$C$13,0))</f>
        <v/>
      </c>
      <c r="T480" s="3">
        <f>IF(G480="","",SUM(N480:S480))</f>
        <v/>
      </c>
      <c r="U480" s="3">
        <f>IF(G480="","",IF(F480="BUY",-(M480+T480),M480-T480))</f>
        <v/>
      </c>
      <c r="V480">
        <f>IF(G480="","",Settings!$C$4+SUM($U$2:U480))</f>
        <v/>
      </c>
    </row>
    <row r="481">
      <c r="A481">
        <f>IF(G481="","",ROW()-1)</f>
        <v/>
      </c>
      <c r="B481" s="8" t="n"/>
      <c r="G481" s="3" t="n"/>
      <c r="H481" s="3" t="n"/>
      <c r="I481" s="3" t="n"/>
      <c r="J481" s="3" t="n"/>
      <c r="K481" s="3" t="n"/>
      <c r="L481" s="3" t="n"/>
      <c r="M481" s="3">
        <f>IF(G481="","",G481*H481)</f>
        <v/>
      </c>
      <c r="N481" s="3">
        <f>IF(G481="","",Settings!$C$5)</f>
        <v/>
      </c>
      <c r="O481" s="3">
        <f>IF(G481="","",IF(F481="SELL",M481*IF(E481="Equity Intraday",Settings!$C$8,Settings!$C$7),0))</f>
        <v/>
      </c>
      <c r="P481" s="3">
        <f>IF(G481="","",M481*(Settings!$C$9+Settings!$C$10))</f>
        <v/>
      </c>
      <c r="Q481" s="3">
        <f>IF(G481="","",IF(F481="BUY",M481*Settings!$C$11,0))</f>
        <v/>
      </c>
      <c r="R481" s="3">
        <f>IF(G481="","",N481*Settings!$C$6)</f>
        <v/>
      </c>
      <c r="S481" s="3">
        <f>IF(G481="","",IF(AND(F481="SELL",E481="Equity Delivery"),Settings!$C$13,0))</f>
        <v/>
      </c>
      <c r="T481" s="3">
        <f>IF(G481="","",SUM(N481:S481))</f>
        <v/>
      </c>
      <c r="U481" s="3">
        <f>IF(G481="","",IF(F481="BUY",-(M481+T481),M481-T481))</f>
        <v/>
      </c>
      <c r="V481">
        <f>IF(G481="","",Settings!$C$4+SUM($U$2:U481))</f>
        <v/>
      </c>
    </row>
    <row r="482">
      <c r="A482">
        <f>IF(G482="","",ROW()-1)</f>
        <v/>
      </c>
      <c r="B482" s="8" t="n"/>
      <c r="G482" s="3" t="n"/>
      <c r="H482" s="3" t="n"/>
      <c r="I482" s="3" t="n"/>
      <c r="J482" s="3" t="n"/>
      <c r="K482" s="3" t="n"/>
      <c r="L482" s="3" t="n"/>
      <c r="M482" s="3">
        <f>IF(G482="","",G482*H482)</f>
        <v/>
      </c>
      <c r="N482" s="3">
        <f>IF(G482="","",Settings!$C$5)</f>
        <v/>
      </c>
      <c r="O482" s="3">
        <f>IF(G482="","",IF(F482="SELL",M482*IF(E482="Equity Intraday",Settings!$C$8,Settings!$C$7),0))</f>
        <v/>
      </c>
      <c r="P482" s="3">
        <f>IF(G482="","",M482*(Settings!$C$9+Settings!$C$10))</f>
        <v/>
      </c>
      <c r="Q482" s="3">
        <f>IF(G482="","",IF(F482="BUY",M482*Settings!$C$11,0))</f>
        <v/>
      </c>
      <c r="R482" s="3">
        <f>IF(G482="","",N482*Settings!$C$6)</f>
        <v/>
      </c>
      <c r="S482" s="3">
        <f>IF(G482="","",IF(AND(F482="SELL",E482="Equity Delivery"),Settings!$C$13,0))</f>
        <v/>
      </c>
      <c r="T482" s="3">
        <f>IF(G482="","",SUM(N482:S482))</f>
        <v/>
      </c>
      <c r="U482" s="3">
        <f>IF(G482="","",IF(F482="BUY",-(M482+T482),M482-T482))</f>
        <v/>
      </c>
      <c r="V482">
        <f>IF(G482="","",Settings!$C$4+SUM($U$2:U482))</f>
        <v/>
      </c>
    </row>
    <row r="483">
      <c r="A483">
        <f>IF(G483="","",ROW()-1)</f>
        <v/>
      </c>
      <c r="B483" s="8" t="n"/>
      <c r="G483" s="3" t="n"/>
      <c r="H483" s="3" t="n"/>
      <c r="I483" s="3" t="n"/>
      <c r="J483" s="3" t="n"/>
      <c r="K483" s="3" t="n"/>
      <c r="L483" s="3" t="n"/>
      <c r="M483" s="3">
        <f>IF(G483="","",G483*H483)</f>
        <v/>
      </c>
      <c r="N483" s="3">
        <f>IF(G483="","",Settings!$C$5)</f>
        <v/>
      </c>
      <c r="O483" s="3">
        <f>IF(G483="","",IF(F483="SELL",M483*IF(E483="Equity Intraday",Settings!$C$8,Settings!$C$7),0))</f>
        <v/>
      </c>
      <c r="P483" s="3">
        <f>IF(G483="","",M483*(Settings!$C$9+Settings!$C$10))</f>
        <v/>
      </c>
      <c r="Q483" s="3">
        <f>IF(G483="","",IF(F483="BUY",M483*Settings!$C$11,0))</f>
        <v/>
      </c>
      <c r="R483" s="3">
        <f>IF(G483="","",N483*Settings!$C$6)</f>
        <v/>
      </c>
      <c r="S483" s="3">
        <f>IF(G483="","",IF(AND(F483="SELL",E483="Equity Delivery"),Settings!$C$13,0))</f>
        <v/>
      </c>
      <c r="T483" s="3">
        <f>IF(G483="","",SUM(N483:S483))</f>
        <v/>
      </c>
      <c r="U483" s="3">
        <f>IF(G483="","",IF(F483="BUY",-(M483+T483),M483-T483))</f>
        <v/>
      </c>
      <c r="V483">
        <f>IF(G483="","",Settings!$C$4+SUM($U$2:U483))</f>
        <v/>
      </c>
    </row>
    <row r="484">
      <c r="A484">
        <f>IF(G484="","",ROW()-1)</f>
        <v/>
      </c>
      <c r="B484" s="8" t="n"/>
      <c r="G484" s="3" t="n"/>
      <c r="H484" s="3" t="n"/>
      <c r="I484" s="3" t="n"/>
      <c r="J484" s="3" t="n"/>
      <c r="K484" s="3" t="n"/>
      <c r="L484" s="3" t="n"/>
      <c r="M484" s="3">
        <f>IF(G484="","",G484*H484)</f>
        <v/>
      </c>
      <c r="N484" s="3">
        <f>IF(G484="","",Settings!$C$5)</f>
        <v/>
      </c>
      <c r="O484" s="3">
        <f>IF(G484="","",IF(F484="SELL",M484*IF(E484="Equity Intraday",Settings!$C$8,Settings!$C$7),0))</f>
        <v/>
      </c>
      <c r="P484" s="3">
        <f>IF(G484="","",M484*(Settings!$C$9+Settings!$C$10))</f>
        <v/>
      </c>
      <c r="Q484" s="3">
        <f>IF(G484="","",IF(F484="BUY",M484*Settings!$C$11,0))</f>
        <v/>
      </c>
      <c r="R484" s="3">
        <f>IF(G484="","",N484*Settings!$C$6)</f>
        <v/>
      </c>
      <c r="S484" s="3">
        <f>IF(G484="","",IF(AND(F484="SELL",E484="Equity Delivery"),Settings!$C$13,0))</f>
        <v/>
      </c>
      <c r="T484" s="3">
        <f>IF(G484="","",SUM(N484:S484))</f>
        <v/>
      </c>
      <c r="U484" s="3">
        <f>IF(G484="","",IF(F484="BUY",-(M484+T484),M484-T484))</f>
        <v/>
      </c>
      <c r="V484">
        <f>IF(G484="","",Settings!$C$4+SUM($U$2:U484))</f>
        <v/>
      </c>
    </row>
    <row r="485">
      <c r="A485">
        <f>IF(G485="","",ROW()-1)</f>
        <v/>
      </c>
      <c r="B485" s="8" t="n"/>
      <c r="G485" s="3" t="n"/>
      <c r="H485" s="3" t="n"/>
      <c r="I485" s="3" t="n"/>
      <c r="J485" s="3" t="n"/>
      <c r="K485" s="3" t="n"/>
      <c r="L485" s="3" t="n"/>
      <c r="M485" s="3">
        <f>IF(G485="","",G485*H485)</f>
        <v/>
      </c>
      <c r="N485" s="3">
        <f>IF(G485="","",Settings!$C$5)</f>
        <v/>
      </c>
      <c r="O485" s="3">
        <f>IF(G485="","",IF(F485="SELL",M485*IF(E485="Equity Intraday",Settings!$C$8,Settings!$C$7),0))</f>
        <v/>
      </c>
      <c r="P485" s="3">
        <f>IF(G485="","",M485*(Settings!$C$9+Settings!$C$10))</f>
        <v/>
      </c>
      <c r="Q485" s="3">
        <f>IF(G485="","",IF(F485="BUY",M485*Settings!$C$11,0))</f>
        <v/>
      </c>
      <c r="R485" s="3">
        <f>IF(G485="","",N485*Settings!$C$6)</f>
        <v/>
      </c>
      <c r="S485" s="3">
        <f>IF(G485="","",IF(AND(F485="SELL",E485="Equity Delivery"),Settings!$C$13,0))</f>
        <v/>
      </c>
      <c r="T485" s="3">
        <f>IF(G485="","",SUM(N485:S485))</f>
        <v/>
      </c>
      <c r="U485" s="3">
        <f>IF(G485="","",IF(F485="BUY",-(M485+T485),M485-T485))</f>
        <v/>
      </c>
      <c r="V485">
        <f>IF(G485="","",Settings!$C$4+SUM($U$2:U485))</f>
        <v/>
      </c>
    </row>
    <row r="486">
      <c r="A486">
        <f>IF(G486="","",ROW()-1)</f>
        <v/>
      </c>
      <c r="B486" s="8" t="n"/>
      <c r="G486" s="3" t="n"/>
      <c r="H486" s="3" t="n"/>
      <c r="I486" s="3" t="n"/>
      <c r="J486" s="3" t="n"/>
      <c r="K486" s="3" t="n"/>
      <c r="L486" s="3" t="n"/>
      <c r="M486" s="3">
        <f>IF(G486="","",G486*H486)</f>
        <v/>
      </c>
      <c r="N486" s="3">
        <f>IF(G486="","",Settings!$C$5)</f>
        <v/>
      </c>
      <c r="O486" s="3">
        <f>IF(G486="","",IF(F486="SELL",M486*IF(E486="Equity Intraday",Settings!$C$8,Settings!$C$7),0))</f>
        <v/>
      </c>
      <c r="P486" s="3">
        <f>IF(G486="","",M486*(Settings!$C$9+Settings!$C$10))</f>
        <v/>
      </c>
      <c r="Q486" s="3">
        <f>IF(G486="","",IF(F486="BUY",M486*Settings!$C$11,0))</f>
        <v/>
      </c>
      <c r="R486" s="3">
        <f>IF(G486="","",N486*Settings!$C$6)</f>
        <v/>
      </c>
      <c r="S486" s="3">
        <f>IF(G486="","",IF(AND(F486="SELL",E486="Equity Delivery"),Settings!$C$13,0))</f>
        <v/>
      </c>
      <c r="T486" s="3">
        <f>IF(G486="","",SUM(N486:S486))</f>
        <v/>
      </c>
      <c r="U486" s="3">
        <f>IF(G486="","",IF(F486="BUY",-(M486+T486),M486-T486))</f>
        <v/>
      </c>
      <c r="V486">
        <f>IF(G486="","",Settings!$C$4+SUM($U$2:U486))</f>
        <v/>
      </c>
    </row>
    <row r="487">
      <c r="A487">
        <f>IF(G487="","",ROW()-1)</f>
        <v/>
      </c>
      <c r="B487" s="8" t="n"/>
      <c r="G487" s="3" t="n"/>
      <c r="H487" s="3" t="n"/>
      <c r="I487" s="3" t="n"/>
      <c r="J487" s="3" t="n"/>
      <c r="K487" s="3" t="n"/>
      <c r="L487" s="3" t="n"/>
      <c r="M487" s="3">
        <f>IF(G487="","",G487*H487)</f>
        <v/>
      </c>
      <c r="N487" s="3">
        <f>IF(G487="","",Settings!$C$5)</f>
        <v/>
      </c>
      <c r="O487" s="3">
        <f>IF(G487="","",IF(F487="SELL",M487*IF(E487="Equity Intraday",Settings!$C$8,Settings!$C$7),0))</f>
        <v/>
      </c>
      <c r="P487" s="3">
        <f>IF(G487="","",M487*(Settings!$C$9+Settings!$C$10))</f>
        <v/>
      </c>
      <c r="Q487" s="3">
        <f>IF(G487="","",IF(F487="BUY",M487*Settings!$C$11,0))</f>
        <v/>
      </c>
      <c r="R487" s="3">
        <f>IF(G487="","",N487*Settings!$C$6)</f>
        <v/>
      </c>
      <c r="S487" s="3">
        <f>IF(G487="","",IF(AND(F487="SELL",E487="Equity Delivery"),Settings!$C$13,0))</f>
        <v/>
      </c>
      <c r="T487" s="3">
        <f>IF(G487="","",SUM(N487:S487))</f>
        <v/>
      </c>
      <c r="U487" s="3">
        <f>IF(G487="","",IF(F487="BUY",-(M487+T487),M487-T487))</f>
        <v/>
      </c>
      <c r="V487">
        <f>IF(G487="","",Settings!$C$4+SUM($U$2:U487))</f>
        <v/>
      </c>
    </row>
    <row r="488">
      <c r="A488">
        <f>IF(G488="","",ROW()-1)</f>
        <v/>
      </c>
      <c r="B488" s="8" t="n"/>
      <c r="G488" s="3" t="n"/>
      <c r="H488" s="3" t="n"/>
      <c r="I488" s="3" t="n"/>
      <c r="J488" s="3" t="n"/>
      <c r="K488" s="3" t="n"/>
      <c r="L488" s="3" t="n"/>
      <c r="M488" s="3">
        <f>IF(G488="","",G488*H488)</f>
        <v/>
      </c>
      <c r="N488" s="3">
        <f>IF(G488="","",Settings!$C$5)</f>
        <v/>
      </c>
      <c r="O488" s="3">
        <f>IF(G488="","",IF(F488="SELL",M488*IF(E488="Equity Intraday",Settings!$C$8,Settings!$C$7),0))</f>
        <v/>
      </c>
      <c r="P488" s="3">
        <f>IF(G488="","",M488*(Settings!$C$9+Settings!$C$10))</f>
        <v/>
      </c>
      <c r="Q488" s="3">
        <f>IF(G488="","",IF(F488="BUY",M488*Settings!$C$11,0))</f>
        <v/>
      </c>
      <c r="R488" s="3">
        <f>IF(G488="","",N488*Settings!$C$6)</f>
        <v/>
      </c>
      <c r="S488" s="3">
        <f>IF(G488="","",IF(AND(F488="SELL",E488="Equity Delivery"),Settings!$C$13,0))</f>
        <v/>
      </c>
      <c r="T488" s="3">
        <f>IF(G488="","",SUM(N488:S488))</f>
        <v/>
      </c>
      <c r="U488" s="3">
        <f>IF(G488="","",IF(F488="BUY",-(M488+T488),M488-T488))</f>
        <v/>
      </c>
      <c r="V488">
        <f>IF(G488="","",Settings!$C$4+SUM($U$2:U488))</f>
        <v/>
      </c>
    </row>
    <row r="489">
      <c r="A489">
        <f>IF(G489="","",ROW()-1)</f>
        <v/>
      </c>
      <c r="B489" s="8" t="n"/>
      <c r="G489" s="3" t="n"/>
      <c r="H489" s="3" t="n"/>
      <c r="I489" s="3" t="n"/>
      <c r="J489" s="3" t="n"/>
      <c r="K489" s="3" t="n"/>
      <c r="L489" s="3" t="n"/>
      <c r="M489" s="3">
        <f>IF(G489="","",G489*H489)</f>
        <v/>
      </c>
      <c r="N489" s="3">
        <f>IF(G489="","",Settings!$C$5)</f>
        <v/>
      </c>
      <c r="O489" s="3">
        <f>IF(G489="","",IF(F489="SELL",M489*IF(E489="Equity Intraday",Settings!$C$8,Settings!$C$7),0))</f>
        <v/>
      </c>
      <c r="P489" s="3">
        <f>IF(G489="","",M489*(Settings!$C$9+Settings!$C$10))</f>
        <v/>
      </c>
      <c r="Q489" s="3">
        <f>IF(G489="","",IF(F489="BUY",M489*Settings!$C$11,0))</f>
        <v/>
      </c>
      <c r="R489" s="3">
        <f>IF(G489="","",N489*Settings!$C$6)</f>
        <v/>
      </c>
      <c r="S489" s="3">
        <f>IF(G489="","",IF(AND(F489="SELL",E489="Equity Delivery"),Settings!$C$13,0))</f>
        <v/>
      </c>
      <c r="T489" s="3">
        <f>IF(G489="","",SUM(N489:S489))</f>
        <v/>
      </c>
      <c r="U489" s="3">
        <f>IF(G489="","",IF(F489="BUY",-(M489+T489),M489-T489))</f>
        <v/>
      </c>
      <c r="V489">
        <f>IF(G489="","",Settings!$C$4+SUM($U$2:U489))</f>
        <v/>
      </c>
    </row>
    <row r="490">
      <c r="A490">
        <f>IF(G490="","",ROW()-1)</f>
        <v/>
      </c>
      <c r="B490" s="8" t="n"/>
      <c r="G490" s="3" t="n"/>
      <c r="H490" s="3" t="n"/>
      <c r="I490" s="3" t="n"/>
      <c r="J490" s="3" t="n"/>
      <c r="K490" s="3" t="n"/>
      <c r="L490" s="3" t="n"/>
      <c r="M490" s="3">
        <f>IF(G490="","",G490*H490)</f>
        <v/>
      </c>
      <c r="N490" s="3">
        <f>IF(G490="","",Settings!$C$5)</f>
        <v/>
      </c>
      <c r="O490" s="3">
        <f>IF(G490="","",IF(F490="SELL",M490*IF(E490="Equity Intraday",Settings!$C$8,Settings!$C$7),0))</f>
        <v/>
      </c>
      <c r="P490" s="3">
        <f>IF(G490="","",M490*(Settings!$C$9+Settings!$C$10))</f>
        <v/>
      </c>
      <c r="Q490" s="3">
        <f>IF(G490="","",IF(F490="BUY",M490*Settings!$C$11,0))</f>
        <v/>
      </c>
      <c r="R490" s="3">
        <f>IF(G490="","",N490*Settings!$C$6)</f>
        <v/>
      </c>
      <c r="S490" s="3">
        <f>IF(G490="","",IF(AND(F490="SELL",E490="Equity Delivery"),Settings!$C$13,0))</f>
        <v/>
      </c>
      <c r="T490" s="3">
        <f>IF(G490="","",SUM(N490:S490))</f>
        <v/>
      </c>
      <c r="U490" s="3">
        <f>IF(G490="","",IF(F490="BUY",-(M490+T490),M490-T490))</f>
        <v/>
      </c>
      <c r="V490">
        <f>IF(G490="","",Settings!$C$4+SUM($U$2:U490))</f>
        <v/>
      </c>
    </row>
    <row r="491">
      <c r="A491">
        <f>IF(G491="","",ROW()-1)</f>
        <v/>
      </c>
      <c r="B491" s="8" t="n"/>
      <c r="G491" s="3" t="n"/>
      <c r="H491" s="3" t="n"/>
      <c r="I491" s="3" t="n"/>
      <c r="J491" s="3" t="n"/>
      <c r="K491" s="3" t="n"/>
      <c r="L491" s="3" t="n"/>
      <c r="M491" s="3">
        <f>IF(G491="","",G491*H491)</f>
        <v/>
      </c>
      <c r="N491" s="3">
        <f>IF(G491="","",Settings!$C$5)</f>
        <v/>
      </c>
      <c r="O491" s="3">
        <f>IF(G491="","",IF(F491="SELL",M491*IF(E491="Equity Intraday",Settings!$C$8,Settings!$C$7),0))</f>
        <v/>
      </c>
      <c r="P491" s="3">
        <f>IF(G491="","",M491*(Settings!$C$9+Settings!$C$10))</f>
        <v/>
      </c>
      <c r="Q491" s="3">
        <f>IF(G491="","",IF(F491="BUY",M491*Settings!$C$11,0))</f>
        <v/>
      </c>
      <c r="R491" s="3">
        <f>IF(G491="","",N491*Settings!$C$6)</f>
        <v/>
      </c>
      <c r="S491" s="3">
        <f>IF(G491="","",IF(AND(F491="SELL",E491="Equity Delivery"),Settings!$C$13,0))</f>
        <v/>
      </c>
      <c r="T491" s="3">
        <f>IF(G491="","",SUM(N491:S491))</f>
        <v/>
      </c>
      <c r="U491" s="3">
        <f>IF(G491="","",IF(F491="BUY",-(M491+T491),M491-T491))</f>
        <v/>
      </c>
      <c r="V491">
        <f>IF(G491="","",Settings!$C$4+SUM($U$2:U491))</f>
        <v/>
      </c>
    </row>
    <row r="492">
      <c r="A492">
        <f>IF(G492="","",ROW()-1)</f>
        <v/>
      </c>
      <c r="B492" s="8" t="n"/>
      <c r="G492" s="3" t="n"/>
      <c r="H492" s="3" t="n"/>
      <c r="I492" s="3" t="n"/>
      <c r="J492" s="3" t="n"/>
      <c r="K492" s="3" t="n"/>
      <c r="L492" s="3" t="n"/>
      <c r="M492" s="3">
        <f>IF(G492="","",G492*H492)</f>
        <v/>
      </c>
      <c r="N492" s="3">
        <f>IF(G492="","",Settings!$C$5)</f>
        <v/>
      </c>
      <c r="O492" s="3">
        <f>IF(G492="","",IF(F492="SELL",M492*IF(E492="Equity Intraday",Settings!$C$8,Settings!$C$7),0))</f>
        <v/>
      </c>
      <c r="P492" s="3">
        <f>IF(G492="","",M492*(Settings!$C$9+Settings!$C$10))</f>
        <v/>
      </c>
      <c r="Q492" s="3">
        <f>IF(G492="","",IF(F492="BUY",M492*Settings!$C$11,0))</f>
        <v/>
      </c>
      <c r="R492" s="3">
        <f>IF(G492="","",N492*Settings!$C$6)</f>
        <v/>
      </c>
      <c r="S492" s="3">
        <f>IF(G492="","",IF(AND(F492="SELL",E492="Equity Delivery"),Settings!$C$13,0))</f>
        <v/>
      </c>
      <c r="T492" s="3">
        <f>IF(G492="","",SUM(N492:S492))</f>
        <v/>
      </c>
      <c r="U492" s="3">
        <f>IF(G492="","",IF(F492="BUY",-(M492+T492),M492-T492))</f>
        <v/>
      </c>
      <c r="V492">
        <f>IF(G492="","",Settings!$C$4+SUM($U$2:U492))</f>
        <v/>
      </c>
    </row>
    <row r="493">
      <c r="A493">
        <f>IF(G493="","",ROW()-1)</f>
        <v/>
      </c>
      <c r="B493" s="8" t="n"/>
      <c r="G493" s="3" t="n"/>
      <c r="H493" s="3" t="n"/>
      <c r="I493" s="3" t="n"/>
      <c r="J493" s="3" t="n"/>
      <c r="K493" s="3" t="n"/>
      <c r="L493" s="3" t="n"/>
      <c r="M493" s="3">
        <f>IF(G493="","",G493*H493)</f>
        <v/>
      </c>
      <c r="N493" s="3">
        <f>IF(G493="","",Settings!$C$5)</f>
        <v/>
      </c>
      <c r="O493" s="3">
        <f>IF(G493="","",IF(F493="SELL",M493*IF(E493="Equity Intraday",Settings!$C$8,Settings!$C$7),0))</f>
        <v/>
      </c>
      <c r="P493" s="3">
        <f>IF(G493="","",M493*(Settings!$C$9+Settings!$C$10))</f>
        <v/>
      </c>
      <c r="Q493" s="3">
        <f>IF(G493="","",IF(F493="BUY",M493*Settings!$C$11,0))</f>
        <v/>
      </c>
      <c r="R493" s="3">
        <f>IF(G493="","",N493*Settings!$C$6)</f>
        <v/>
      </c>
      <c r="S493" s="3">
        <f>IF(G493="","",IF(AND(F493="SELL",E493="Equity Delivery"),Settings!$C$13,0))</f>
        <v/>
      </c>
      <c r="T493" s="3">
        <f>IF(G493="","",SUM(N493:S493))</f>
        <v/>
      </c>
      <c r="U493" s="3">
        <f>IF(G493="","",IF(F493="BUY",-(M493+T493),M493-T493))</f>
        <v/>
      </c>
      <c r="V493">
        <f>IF(G493="","",Settings!$C$4+SUM($U$2:U493))</f>
        <v/>
      </c>
    </row>
    <row r="494">
      <c r="A494">
        <f>IF(G494="","",ROW()-1)</f>
        <v/>
      </c>
      <c r="B494" s="8" t="n"/>
      <c r="G494" s="3" t="n"/>
      <c r="H494" s="3" t="n"/>
      <c r="I494" s="3" t="n"/>
      <c r="J494" s="3" t="n"/>
      <c r="K494" s="3" t="n"/>
      <c r="L494" s="3" t="n"/>
      <c r="M494" s="3">
        <f>IF(G494="","",G494*H494)</f>
        <v/>
      </c>
      <c r="N494" s="3">
        <f>IF(G494="","",Settings!$C$5)</f>
        <v/>
      </c>
      <c r="O494" s="3">
        <f>IF(G494="","",IF(F494="SELL",M494*IF(E494="Equity Intraday",Settings!$C$8,Settings!$C$7),0))</f>
        <v/>
      </c>
      <c r="P494" s="3">
        <f>IF(G494="","",M494*(Settings!$C$9+Settings!$C$10))</f>
        <v/>
      </c>
      <c r="Q494" s="3">
        <f>IF(G494="","",IF(F494="BUY",M494*Settings!$C$11,0))</f>
        <v/>
      </c>
      <c r="R494" s="3">
        <f>IF(G494="","",N494*Settings!$C$6)</f>
        <v/>
      </c>
      <c r="S494" s="3">
        <f>IF(G494="","",IF(AND(F494="SELL",E494="Equity Delivery"),Settings!$C$13,0))</f>
        <v/>
      </c>
      <c r="T494" s="3">
        <f>IF(G494="","",SUM(N494:S494))</f>
        <v/>
      </c>
      <c r="U494" s="3">
        <f>IF(G494="","",IF(F494="BUY",-(M494+T494),M494-T494))</f>
        <v/>
      </c>
      <c r="V494">
        <f>IF(G494="","",Settings!$C$4+SUM($U$2:U494))</f>
        <v/>
      </c>
    </row>
    <row r="495">
      <c r="A495">
        <f>IF(G495="","",ROW()-1)</f>
        <v/>
      </c>
      <c r="B495" s="8" t="n"/>
      <c r="G495" s="3" t="n"/>
      <c r="H495" s="3" t="n"/>
      <c r="I495" s="3" t="n"/>
      <c r="J495" s="3" t="n"/>
      <c r="K495" s="3" t="n"/>
      <c r="L495" s="3" t="n"/>
      <c r="M495" s="3">
        <f>IF(G495="","",G495*H495)</f>
        <v/>
      </c>
      <c r="N495" s="3">
        <f>IF(G495="","",Settings!$C$5)</f>
        <v/>
      </c>
      <c r="O495" s="3">
        <f>IF(G495="","",IF(F495="SELL",M495*IF(E495="Equity Intraday",Settings!$C$8,Settings!$C$7),0))</f>
        <v/>
      </c>
      <c r="P495" s="3">
        <f>IF(G495="","",M495*(Settings!$C$9+Settings!$C$10))</f>
        <v/>
      </c>
      <c r="Q495" s="3">
        <f>IF(G495="","",IF(F495="BUY",M495*Settings!$C$11,0))</f>
        <v/>
      </c>
      <c r="R495" s="3">
        <f>IF(G495="","",N495*Settings!$C$6)</f>
        <v/>
      </c>
      <c r="S495" s="3">
        <f>IF(G495="","",IF(AND(F495="SELL",E495="Equity Delivery"),Settings!$C$13,0))</f>
        <v/>
      </c>
      <c r="T495" s="3">
        <f>IF(G495="","",SUM(N495:S495))</f>
        <v/>
      </c>
      <c r="U495" s="3">
        <f>IF(G495="","",IF(F495="BUY",-(M495+T495),M495-T495))</f>
        <v/>
      </c>
      <c r="V495">
        <f>IF(G495="","",Settings!$C$4+SUM($U$2:U495))</f>
        <v/>
      </c>
    </row>
    <row r="496">
      <c r="A496">
        <f>IF(G496="","",ROW()-1)</f>
        <v/>
      </c>
      <c r="B496" s="8" t="n"/>
      <c r="G496" s="3" t="n"/>
      <c r="H496" s="3" t="n"/>
      <c r="I496" s="3" t="n"/>
      <c r="J496" s="3" t="n"/>
      <c r="K496" s="3" t="n"/>
      <c r="L496" s="3" t="n"/>
      <c r="M496" s="3">
        <f>IF(G496="","",G496*H496)</f>
        <v/>
      </c>
      <c r="N496" s="3">
        <f>IF(G496="","",Settings!$C$5)</f>
        <v/>
      </c>
      <c r="O496" s="3">
        <f>IF(G496="","",IF(F496="SELL",M496*IF(E496="Equity Intraday",Settings!$C$8,Settings!$C$7),0))</f>
        <v/>
      </c>
      <c r="P496" s="3">
        <f>IF(G496="","",M496*(Settings!$C$9+Settings!$C$10))</f>
        <v/>
      </c>
      <c r="Q496" s="3">
        <f>IF(G496="","",IF(F496="BUY",M496*Settings!$C$11,0))</f>
        <v/>
      </c>
      <c r="R496" s="3">
        <f>IF(G496="","",N496*Settings!$C$6)</f>
        <v/>
      </c>
      <c r="S496" s="3">
        <f>IF(G496="","",IF(AND(F496="SELL",E496="Equity Delivery"),Settings!$C$13,0))</f>
        <v/>
      </c>
      <c r="T496" s="3">
        <f>IF(G496="","",SUM(N496:S496))</f>
        <v/>
      </c>
      <c r="U496" s="3">
        <f>IF(G496="","",IF(F496="BUY",-(M496+T496),M496-T496))</f>
        <v/>
      </c>
      <c r="V496">
        <f>IF(G496="","",Settings!$C$4+SUM($U$2:U496))</f>
        <v/>
      </c>
    </row>
    <row r="497">
      <c r="A497">
        <f>IF(G497="","",ROW()-1)</f>
        <v/>
      </c>
      <c r="B497" s="8" t="n"/>
      <c r="G497" s="3" t="n"/>
      <c r="H497" s="3" t="n"/>
      <c r="I497" s="3" t="n"/>
      <c r="J497" s="3" t="n"/>
      <c r="K497" s="3" t="n"/>
      <c r="L497" s="3" t="n"/>
      <c r="M497" s="3">
        <f>IF(G497="","",G497*H497)</f>
        <v/>
      </c>
      <c r="N497" s="3">
        <f>IF(G497="","",Settings!$C$5)</f>
        <v/>
      </c>
      <c r="O497" s="3">
        <f>IF(G497="","",IF(F497="SELL",M497*IF(E497="Equity Intraday",Settings!$C$8,Settings!$C$7),0))</f>
        <v/>
      </c>
      <c r="P497" s="3">
        <f>IF(G497="","",M497*(Settings!$C$9+Settings!$C$10))</f>
        <v/>
      </c>
      <c r="Q497" s="3">
        <f>IF(G497="","",IF(F497="BUY",M497*Settings!$C$11,0))</f>
        <v/>
      </c>
      <c r="R497" s="3">
        <f>IF(G497="","",N497*Settings!$C$6)</f>
        <v/>
      </c>
      <c r="S497" s="3">
        <f>IF(G497="","",IF(AND(F497="SELL",E497="Equity Delivery"),Settings!$C$13,0))</f>
        <v/>
      </c>
      <c r="T497" s="3">
        <f>IF(G497="","",SUM(N497:S497))</f>
        <v/>
      </c>
      <c r="U497" s="3">
        <f>IF(G497="","",IF(F497="BUY",-(M497+T497),M497-T497))</f>
        <v/>
      </c>
      <c r="V497">
        <f>IF(G497="","",Settings!$C$4+SUM($U$2:U497))</f>
        <v/>
      </c>
    </row>
    <row r="498">
      <c r="A498">
        <f>IF(G498="","",ROW()-1)</f>
        <v/>
      </c>
      <c r="B498" s="8" t="n"/>
      <c r="G498" s="3" t="n"/>
      <c r="H498" s="3" t="n"/>
      <c r="I498" s="3" t="n"/>
      <c r="J498" s="3" t="n"/>
      <c r="K498" s="3" t="n"/>
      <c r="L498" s="3" t="n"/>
      <c r="M498" s="3">
        <f>IF(G498="","",G498*H498)</f>
        <v/>
      </c>
      <c r="N498" s="3">
        <f>IF(G498="","",Settings!$C$5)</f>
        <v/>
      </c>
      <c r="O498" s="3">
        <f>IF(G498="","",IF(F498="SELL",M498*IF(E498="Equity Intraday",Settings!$C$8,Settings!$C$7),0))</f>
        <v/>
      </c>
      <c r="P498" s="3">
        <f>IF(G498="","",M498*(Settings!$C$9+Settings!$C$10))</f>
        <v/>
      </c>
      <c r="Q498" s="3">
        <f>IF(G498="","",IF(F498="BUY",M498*Settings!$C$11,0))</f>
        <v/>
      </c>
      <c r="R498" s="3">
        <f>IF(G498="","",N498*Settings!$C$6)</f>
        <v/>
      </c>
      <c r="S498" s="3">
        <f>IF(G498="","",IF(AND(F498="SELL",E498="Equity Delivery"),Settings!$C$13,0))</f>
        <v/>
      </c>
      <c r="T498" s="3">
        <f>IF(G498="","",SUM(N498:S498))</f>
        <v/>
      </c>
      <c r="U498" s="3">
        <f>IF(G498="","",IF(F498="BUY",-(M498+T498),M498-T498))</f>
        <v/>
      </c>
      <c r="V498">
        <f>IF(G498="","",Settings!$C$4+SUM($U$2:U498))</f>
        <v/>
      </c>
    </row>
    <row r="499">
      <c r="A499">
        <f>IF(G499="","",ROW()-1)</f>
        <v/>
      </c>
      <c r="B499" s="8" t="n"/>
      <c r="G499" s="3" t="n"/>
      <c r="H499" s="3" t="n"/>
      <c r="I499" s="3" t="n"/>
      <c r="J499" s="3" t="n"/>
      <c r="K499" s="3" t="n"/>
      <c r="L499" s="3" t="n"/>
      <c r="M499" s="3">
        <f>IF(G499="","",G499*H499)</f>
        <v/>
      </c>
      <c r="N499" s="3">
        <f>IF(G499="","",Settings!$C$5)</f>
        <v/>
      </c>
      <c r="O499" s="3">
        <f>IF(G499="","",IF(F499="SELL",M499*IF(E499="Equity Intraday",Settings!$C$8,Settings!$C$7),0))</f>
        <v/>
      </c>
      <c r="P499" s="3">
        <f>IF(G499="","",M499*(Settings!$C$9+Settings!$C$10))</f>
        <v/>
      </c>
      <c r="Q499" s="3">
        <f>IF(G499="","",IF(F499="BUY",M499*Settings!$C$11,0))</f>
        <v/>
      </c>
      <c r="R499" s="3">
        <f>IF(G499="","",N499*Settings!$C$6)</f>
        <v/>
      </c>
      <c r="S499" s="3">
        <f>IF(G499="","",IF(AND(F499="SELL",E499="Equity Delivery"),Settings!$C$13,0))</f>
        <v/>
      </c>
      <c r="T499" s="3">
        <f>IF(G499="","",SUM(N499:S499))</f>
        <v/>
      </c>
      <c r="U499" s="3">
        <f>IF(G499="","",IF(F499="BUY",-(M499+T499),M499-T499))</f>
        <v/>
      </c>
      <c r="V499">
        <f>IF(G499="","",Settings!$C$4+SUM($U$2:U499))</f>
        <v/>
      </c>
    </row>
    <row r="500">
      <c r="A500">
        <f>IF(G500="","",ROW()-1)</f>
        <v/>
      </c>
      <c r="B500" s="8" t="n"/>
      <c r="G500" s="3" t="n"/>
      <c r="H500" s="3" t="n"/>
      <c r="I500" s="3" t="n"/>
      <c r="J500" s="3" t="n"/>
      <c r="K500" s="3" t="n"/>
      <c r="L500" s="3" t="n"/>
      <c r="M500" s="3">
        <f>IF(G500="","",G500*H500)</f>
        <v/>
      </c>
      <c r="N500" s="3">
        <f>IF(G500="","",Settings!$C$5)</f>
        <v/>
      </c>
      <c r="O500" s="3">
        <f>IF(G500="","",IF(F500="SELL",M500*IF(E500="Equity Intraday",Settings!$C$8,Settings!$C$7),0))</f>
        <v/>
      </c>
      <c r="P500" s="3">
        <f>IF(G500="","",M500*(Settings!$C$9+Settings!$C$10))</f>
        <v/>
      </c>
      <c r="Q500" s="3">
        <f>IF(G500="","",IF(F500="BUY",M500*Settings!$C$11,0))</f>
        <v/>
      </c>
      <c r="R500" s="3">
        <f>IF(G500="","",N500*Settings!$C$6)</f>
        <v/>
      </c>
      <c r="S500" s="3">
        <f>IF(G500="","",IF(AND(F500="SELL",E500="Equity Delivery"),Settings!$C$13,0))</f>
        <v/>
      </c>
      <c r="T500" s="3">
        <f>IF(G500="","",SUM(N500:S500))</f>
        <v/>
      </c>
      <c r="U500" s="3">
        <f>IF(G500="","",IF(F500="BUY",-(M500+T500),M500-T500))</f>
        <v/>
      </c>
      <c r="V500">
        <f>IF(G500="","",Settings!$C$4+SUM($U$2:U500))</f>
        <v/>
      </c>
    </row>
    <row r="501">
      <c r="A501">
        <f>IF(G501="","",ROW()-1)</f>
        <v/>
      </c>
      <c r="B501" s="8" t="n"/>
      <c r="G501" s="3" t="n"/>
      <c r="H501" s="3" t="n"/>
      <c r="I501" s="3" t="n"/>
      <c r="J501" s="3" t="n"/>
      <c r="K501" s="3" t="n"/>
      <c r="L501" s="3" t="n"/>
      <c r="M501" s="3">
        <f>IF(G501="","",G501*H501)</f>
        <v/>
      </c>
      <c r="N501" s="3">
        <f>IF(G501="","",Settings!$C$5)</f>
        <v/>
      </c>
      <c r="O501" s="3">
        <f>IF(G501="","",IF(F501="SELL",M501*IF(E501="Equity Intraday",Settings!$C$8,Settings!$C$7),0))</f>
        <v/>
      </c>
      <c r="P501" s="3">
        <f>IF(G501="","",M501*(Settings!$C$9+Settings!$C$10))</f>
        <v/>
      </c>
      <c r="Q501" s="3">
        <f>IF(G501="","",IF(F501="BUY",M501*Settings!$C$11,0))</f>
        <v/>
      </c>
      <c r="R501" s="3">
        <f>IF(G501="","",N501*Settings!$C$6)</f>
        <v/>
      </c>
      <c r="S501" s="3">
        <f>IF(G501="","",IF(AND(F501="SELL",E501="Equity Delivery"),Settings!$C$13,0))</f>
        <v/>
      </c>
      <c r="T501" s="3">
        <f>IF(G501="","",SUM(N501:S501))</f>
        <v/>
      </c>
      <c r="U501" s="3">
        <f>IF(G501="","",IF(F501="BUY",-(M501+T501),M501-T501))</f>
        <v/>
      </c>
      <c r="V501">
        <f>IF(G501="","",Settings!$C$4+SUM($U$2:U501))</f>
        <v/>
      </c>
    </row>
    <row r="502">
      <c r="A502">
        <f>IF(G502="","",ROW()-1)</f>
        <v/>
      </c>
      <c r="B502" s="8" t="n"/>
      <c r="G502" s="3" t="n"/>
      <c r="H502" s="3" t="n"/>
      <c r="I502" s="3" t="n"/>
      <c r="J502" s="3" t="n"/>
      <c r="K502" s="3" t="n"/>
      <c r="L502" s="3" t="n"/>
      <c r="M502" s="3">
        <f>IF(G502="","",G502*H502)</f>
        <v/>
      </c>
      <c r="N502" s="3">
        <f>IF(G502="","",Settings!$C$5)</f>
        <v/>
      </c>
      <c r="O502" s="3">
        <f>IF(G502="","",IF(F502="SELL",M502*IF(E502="Equity Intraday",Settings!$C$8,Settings!$C$7),0))</f>
        <v/>
      </c>
      <c r="P502" s="3">
        <f>IF(G502="","",M502*(Settings!$C$9+Settings!$C$10))</f>
        <v/>
      </c>
      <c r="Q502" s="3">
        <f>IF(G502="","",IF(F502="BUY",M502*Settings!$C$11,0))</f>
        <v/>
      </c>
      <c r="R502" s="3">
        <f>IF(G502="","",N502*Settings!$C$6)</f>
        <v/>
      </c>
      <c r="S502" s="3">
        <f>IF(G502="","",IF(AND(F502="SELL",E502="Equity Delivery"),Settings!$C$13,0))</f>
        <v/>
      </c>
      <c r="T502" s="3">
        <f>IF(G502="","",SUM(N502:S502))</f>
        <v/>
      </c>
      <c r="U502" s="3">
        <f>IF(G502="","",IF(F502="BUY",-(M502+T502),M502-T502))</f>
        <v/>
      </c>
      <c r="V502">
        <f>IF(G502="","",Settings!$C$4+SUM($U$2:U502))</f>
        <v/>
      </c>
    </row>
  </sheetData>
  <dataValidations count="3">
    <dataValidation sqref="D2:D502" showDropDown="0" showInputMessage="0" showErrorMessage="0" allowBlank="1" type="list">
      <formula1>"NSE,BSE"</formula1>
    </dataValidation>
    <dataValidation sqref="E2:E502" showDropDown="0" showInputMessage="0" showErrorMessage="0" allowBlank="1" type="list">
      <formula1>"Equity Delivery,Equity Intraday"</formula1>
    </dataValidation>
    <dataValidation sqref="F2:F502" showDropDown="0" showInputMessage="0" showErrorMessage="0" allowBlank="1" type="list">
      <formula1>"BUY,SELL"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8" customWidth="1" min="3" max="3"/>
    <col width="10" customWidth="1" min="4" max="4"/>
    <col width="14" customWidth="1" min="5" max="5"/>
    <col width="14" customWidth="1" min="6" max="6"/>
    <col width="20" customWidth="1" min="7" max="7"/>
    <col width="14" customWidth="1" min="8" max="8"/>
    <col width="16" customWidth="1" min="9" max="9"/>
    <col width="12" customWidth="1" min="10" max="10"/>
  </cols>
  <sheetData>
    <row r="1">
      <c r="A1" s="1" t="inlineStr">
        <is>
          <t>Open positions (net qty &gt; 0)</t>
        </is>
      </c>
    </row>
    <row r="3">
      <c r="A3" s="2" t="inlineStr">
        <is>
          <t>Symbol</t>
        </is>
      </c>
      <c r="B3" s="2" t="inlineStr">
        <is>
          <t>Exchange</t>
        </is>
      </c>
      <c r="C3" s="2" t="inlineStr">
        <is>
          <t>Segment</t>
        </is>
      </c>
      <c r="D3" s="2" t="inlineStr">
        <is>
          <t>Qty held</t>
        </is>
      </c>
      <c r="E3" s="2" t="inlineStr">
        <is>
          <t>Avg cost (₹)</t>
        </is>
      </c>
      <c r="F3" s="2" t="inlineStr">
        <is>
          <t>Cost value (₹)</t>
        </is>
      </c>
      <c r="G3" s="2" t="inlineStr">
        <is>
          <t>LTP (₹) — enter manually</t>
        </is>
      </c>
      <c r="H3" s="2" t="inlineStr">
        <is>
          <t>Market value (₹)</t>
        </is>
      </c>
      <c r="I3" s="2" t="inlineStr">
        <is>
          <t>Unrealized P&amp;L (₹)</t>
        </is>
      </c>
      <c r="J3" s="2" t="inlineStr">
        <is>
          <t>Unrealized %</t>
        </is>
      </c>
    </row>
    <row r="4">
      <c r="A4">
        <f>LET(log_syms,UNIQUE(FILTER('Trade Log'!$C$2:$C$502,'Trade Log'!$G$2:$G$502&lt;&gt;"")),nets,BYROW(log_syms,LAMBDA(sym,SUMIFS('Trade Log'!$G$2:$G$502,'Trade Log'!$C$2:$C$502,sym,'Trade Log'!$F$2:$F$502,"BUY")-SUMIFS('Trade Log'!$G$2:$G$502,'Trade Log'!$C$2:$C$502,sym,'Trade Log'!$F$2:$F$502,"SELL"))),FILTER(log_syms,nets&gt;0))</f>
        <v/>
      </c>
      <c r="B4">
        <f>IF(A4="","",INDEX('Trade Log'!$D$2:$D$502,MATCH(A4,'Trade Log'!$C$2:$C$502,0)))</f>
        <v/>
      </c>
      <c r="C4">
        <f>IF(A4="","",INDEX('Trade Log'!$E$2:$E$502,MATCH(A4,'Trade Log'!$C$2:$C$502,0)))</f>
        <v/>
      </c>
      <c r="D4" s="3">
        <f>IF(A4="","",SUMIFS('Trade Log'!$G$2:$G$502,'Trade Log'!$C$2:$C$502,A4,'Trade Log'!$F$2:$F$502,"BUY")-SUMIFS('Trade Log'!$G$2:$G$502,'Trade Log'!$C$2:$C$502,A4,'Trade Log'!$F$2:$F$502,"SELL"))</f>
        <v/>
      </c>
      <c r="E4" s="3">
        <f>IF(D4&lt;=0,"",SUMIFS('Trade Log'!$M$2:$M$502,'Trade Log'!$C$2:$C$502,A4,'Trade Log'!$F$2:$F$502,"BUY")/SUMIFS('Trade Log'!$G$2:$G$502,'Trade Log'!$C$2:$C$502,A4,'Trade Log'!$F$2:$F$502,"BUY"))</f>
        <v/>
      </c>
      <c r="F4" s="3">
        <f>IF(D4&lt;=0,"",D4*E4)</f>
        <v/>
      </c>
      <c r="G4" s="3" t="n"/>
      <c r="H4" s="3">
        <f>IF(D4&lt;=0,"",D4*G4)</f>
        <v/>
      </c>
      <c r="I4" s="3">
        <f>IF(D4&lt;=0,"",H4-F4)</f>
        <v/>
      </c>
      <c r="J4" s="4">
        <f>IF(F4&lt;=0,"",I4/F4)</f>
        <v/>
      </c>
    </row>
    <row r="56">
      <c r="A56" t="inlineStr">
        <is>
          <t>Totals</t>
        </is>
      </c>
      <c r="F56" s="7">
        <f>SUM(F4#)</f>
        <v/>
      </c>
      <c r="H56" s="7">
        <f>SUM(H4#)</f>
        <v/>
      </c>
      <c r="I56" s="7">
        <f>SUM(I4#)</f>
        <v/>
      </c>
    </row>
    <row r="58">
      <c r="A58" s="5" t="inlineStr">
        <is>
          <t>Requires Excel 365 / Microsoft 365 for auto symbol list. Enter LTP in column G. Then run --refresh for exact realized P&amp;L.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</cols>
  <sheetData>
    <row r="1">
      <c r="A1" s="1" t="inlineStr">
        <is>
          <t>Paper trading dashboard</t>
        </is>
      </c>
    </row>
    <row r="3">
      <c r="A3" s="2" t="inlineStr">
        <is>
          <t>Metric</t>
        </is>
      </c>
      <c r="B3" s="2" t="inlineStr">
        <is>
          <t>Value</t>
        </is>
      </c>
    </row>
    <row r="4">
      <c r="A4" t="inlineStr">
        <is>
          <t>Starting capital (₹)</t>
        </is>
      </c>
      <c r="B4" s="3">
        <f>Settings!C4</f>
        <v/>
      </c>
    </row>
    <row r="5">
      <c r="A5" t="inlineStr">
        <is>
          <t>Cash available (₹)</t>
        </is>
      </c>
      <c r="B5" s="3">
        <f>Settings!C4+SUM('Trade Log'!$U$2:$U$502)</f>
        <v/>
      </c>
    </row>
    <row r="6">
      <c r="A6" t="inlineStr">
        <is>
          <t>Invested in open positions (₹)</t>
        </is>
      </c>
      <c r="B6" s="3">
        <f>'Open Positions'!F56</f>
        <v/>
      </c>
    </row>
    <row r="7">
      <c r="A7" t="inlineStr">
        <is>
          <t>Holdings at LTP (₹)</t>
        </is>
      </c>
      <c r="B7" s="3">
        <f>'Open Positions'!H56</f>
        <v/>
      </c>
    </row>
    <row r="8">
      <c r="A8" t="inlineStr">
        <is>
          <t>Portfolio equity (₹)</t>
        </is>
      </c>
      <c r="B8" s="3">
        <f>B5+B8</f>
        <v/>
      </c>
    </row>
    <row r="9">
      <c r="A9" t="inlineStr">
        <is>
          <t>Unrealized P&amp;L (₹)</t>
        </is>
      </c>
      <c r="B9" s="3">
        <f>'Open Positions'!I56</f>
        <v/>
      </c>
    </row>
    <row r="10">
      <c r="A10" t="inlineStr">
        <is>
          <t>Realized P&amp;L (₹)</t>
        </is>
      </c>
      <c r="B10" s="3">
        <f>SUM('Completed Trades'!H:H)</f>
        <v/>
      </c>
    </row>
    <row r="11">
      <c r="A11" t="inlineStr">
        <is>
          <t>Total P&amp;L (₹)</t>
        </is>
      </c>
      <c r="B11" s="3">
        <f>B10+B9</f>
        <v/>
      </c>
    </row>
    <row r="12">
      <c r="A12" t="inlineStr">
        <is>
          <t>Return on starting capital %</t>
        </is>
      </c>
      <c r="B12" s="3">
        <f>IF(Settings!C4=0,"",B11/Settings!C4)</f>
        <v/>
      </c>
    </row>
    <row r="13">
      <c r="A13" t="inlineStr">
        <is>
          <t>Open positions (count)</t>
        </is>
      </c>
      <c r="B13">
        <f>COUNTA('Open Positions'!A4#)</f>
        <v/>
      </c>
    </row>
    <row r="14">
      <c r="A14" t="inlineStr">
        <is>
          <t>Completed round-trips</t>
        </is>
      </c>
      <c r="B14">
        <f>COUNTA('Completed Trades'!A2:A500)-COUNTIF('Completed Trades'!A2:A500,"")</f>
        <v/>
      </c>
    </row>
    <row r="15">
      <c r="A15" t="inlineStr">
        <is>
          <t>Winning trades</t>
        </is>
      </c>
      <c r="B15">
        <f>COUNTIF('Completed Trades'!H2:H500,"&gt;0")</f>
        <v/>
      </c>
    </row>
    <row r="16">
      <c r="A16" t="inlineStr">
        <is>
          <t>Win rate %</t>
        </is>
      </c>
      <c r="B16" s="4">
        <f>IF(B14=0,"",B15/B14)</f>
        <v/>
      </c>
    </row>
    <row r="17">
      <c r="A17" t="inlineStr">
        <is>
          <t>Total charges paid (₹)</t>
        </is>
      </c>
      <c r="B17" s="3">
        <f>SUM('Trade Log'!$T$2:$T$502)</f>
        <v/>
      </c>
    </row>
    <row r="20">
      <c r="A20" s="5" t="inlineStr">
        <is>
          <t>Tip: save this file in OneDrive — edits persist; no cloud app backup required.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2" customWidth="1" min="10" max="10"/>
  </cols>
  <sheetData>
    <row r="1">
      <c r="A1" s="2" t="inlineStr">
        <is>
          <t>Symbol</t>
        </is>
      </c>
      <c r="B1" s="2" t="inlineStr">
        <is>
          <t>Position ID</t>
        </is>
      </c>
      <c r="C1" s="2" t="inlineStr">
        <is>
          <t>Qty</t>
        </is>
      </c>
      <c r="D1" s="2" t="inlineStr">
        <is>
          <t>Buy avg (₹)</t>
        </is>
      </c>
      <c r="E1" s="2" t="inlineStr">
        <is>
          <t>Sell avg (₹)</t>
        </is>
      </c>
      <c r="F1" s="2" t="inlineStr">
        <is>
          <t>Buy date</t>
        </is>
      </c>
      <c r="G1" s="2" t="inlineStr">
        <is>
          <t>Sell date</t>
        </is>
      </c>
      <c r="H1" s="2" t="inlineStr">
        <is>
          <t>Net P&amp;L (₹)</t>
        </is>
      </c>
      <c r="I1" s="2" t="inlineStr">
        <is>
          <t>Return %</t>
        </is>
      </c>
      <c r="J1" s="2" t="inlineStr">
        <is>
          <t>Charges (₹)</t>
        </is>
      </c>
    </row>
    <row r="2">
      <c r="A2" t="inlineStr">
        <is>
          <t>TATASTEEL</t>
        </is>
      </c>
      <c r="B2" t="inlineStr"/>
      <c r="C2" s="3" t="n">
        <v>1000</v>
      </c>
      <c r="D2" s="3" t="n">
        <v>207.94</v>
      </c>
      <c r="E2" s="3" t="n">
        <v>210.86</v>
      </c>
      <c r="F2" s="8" t="inlineStr">
        <is>
          <t>2026-05-29T00:00:00</t>
        </is>
      </c>
      <c r="G2" s="8" t="inlineStr">
        <is>
          <t>2026-06-03T00:00:00</t>
        </is>
      </c>
      <c r="H2" s="3" t="n">
        <v>2599.95</v>
      </c>
      <c r="I2" s="4" t="n">
        <v>0.0125</v>
      </c>
      <c r="J2" s="3" t="n">
        <v>320.05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2026-06-03T09:54:31Z</dcterms:created>
  <dcterms:modified xmlns:dcterms="http://purl.org/dc/terms/" xmlns:xsi="http://www.w3.org/2001/XMLSchema-instance" xsi:type="dcterms:W3CDTF">2026-06-03T09:55:35Z</dcterms:modified>
</cp:coreProperties>
</file>